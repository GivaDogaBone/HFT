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480" yWindow="105" windowWidth="16965" windowHeight="7785"/>
  </bookViews>
  <sheets>
    <sheet name="eMini Template" sheetId="2" r:id="rId1"/>
    <sheet name="Parameter" sheetId="3" r:id="rId2"/>
    <sheet name="EventLog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E5" i="2" l="1"/>
  <c r="B4" i="4"/>
  <c r="O18" i="2"/>
  <c r="N21" i="2"/>
  <c r="N10" i="2"/>
  <c r="M13" i="2"/>
  <c r="L16" i="2"/>
  <c r="K18" i="2"/>
  <c r="J21" i="2"/>
  <c r="J10" i="2"/>
  <c r="I13" i="2"/>
  <c r="H16" i="2"/>
  <c r="G10" i="2"/>
  <c r="F13" i="2"/>
  <c r="N13" i="2"/>
  <c r="L18" i="2"/>
  <c r="K10" i="2"/>
  <c r="G13" i="2"/>
  <c r="O17" i="2"/>
  <c r="N20" i="2"/>
  <c r="M22" i="2"/>
  <c r="M12" i="2"/>
  <c r="L15" i="2"/>
  <c r="K17" i="2"/>
  <c r="J20" i="2"/>
  <c r="I22" i="2"/>
  <c r="I12" i="2"/>
  <c r="H15" i="2"/>
  <c r="G20" i="2"/>
  <c r="F22" i="2"/>
  <c r="F12" i="2"/>
  <c r="H13" i="2"/>
  <c r="F21" i="2"/>
  <c r="H22" i="2"/>
  <c r="O16" i="2"/>
  <c r="N18" i="2"/>
  <c r="M21" i="2"/>
  <c r="M10" i="2"/>
  <c r="L13" i="2"/>
  <c r="K16" i="2"/>
  <c r="J18" i="2"/>
  <c r="I21" i="2"/>
  <c r="I10" i="2"/>
  <c r="G18" i="2"/>
  <c r="F10" i="2"/>
  <c r="G17" i="2"/>
  <c r="O15" i="2"/>
  <c r="N17" i="2"/>
  <c r="M20" i="2"/>
  <c r="L22" i="2"/>
  <c r="L12" i="2"/>
  <c r="K15" i="2"/>
  <c r="J17" i="2"/>
  <c r="I20" i="2"/>
  <c r="H12" i="2"/>
  <c r="F20" i="2"/>
  <c r="J16" i="2"/>
  <c r="H21" i="2"/>
  <c r="G16" i="2"/>
  <c r="F18" i="2"/>
  <c r="O10" i="2"/>
  <c r="K21" i="2"/>
  <c r="I16" i="2"/>
  <c r="F16" i="2"/>
  <c r="F15" i="2"/>
  <c r="O13" i="2"/>
  <c r="N16" i="2"/>
  <c r="M18" i="2"/>
  <c r="L21" i="2"/>
  <c r="L10" i="2"/>
  <c r="K13" i="2"/>
  <c r="I18" i="2"/>
  <c r="H10" i="2"/>
  <c r="M16" i="2"/>
  <c r="J13" i="2"/>
  <c r="G21" i="2"/>
  <c r="G12" i="2"/>
  <c r="O22" i="2"/>
  <c r="O12" i="2"/>
  <c r="N15" i="2"/>
  <c r="M17" i="2"/>
  <c r="L20" i="2"/>
  <c r="K22" i="2"/>
  <c r="K12" i="2"/>
  <c r="J15" i="2"/>
  <c r="I17" i="2"/>
  <c r="H20" i="2"/>
  <c r="G22" i="2"/>
  <c r="G15" i="2"/>
  <c r="F17" i="2"/>
  <c r="O21" i="2"/>
  <c r="H18" i="2"/>
  <c r="O20" i="2"/>
  <c r="N22" i="2"/>
  <c r="N12" i="2"/>
  <c r="M15" i="2"/>
  <c r="L17" i="2"/>
  <c r="K20" i="2"/>
  <c r="J22" i="2"/>
  <c r="J12" i="2"/>
  <c r="I15" i="2"/>
  <c r="H17" i="2"/>
  <c r="Q17" i="2"/>
  <c r="R21" i="2"/>
  <c r="Z13" i="2"/>
  <c r="Y9" i="2"/>
  <c r="Q21" i="2"/>
  <c r="R17" i="2"/>
  <c r="Z12" i="2"/>
  <c r="Z9" i="2"/>
  <c r="Y10" i="2"/>
  <c r="Z10" i="2" s="1"/>
  <c r="Y8" i="2" l="1"/>
  <c r="Q10" i="2"/>
  <c r="Y12" i="2"/>
  <c r="Y13" i="2"/>
  <c r="R10" i="2"/>
  <c r="Z8" i="2"/>
</calcChain>
</file>

<file path=xl/sharedStrings.xml><?xml version="1.0" encoding="utf-8"?>
<sst xmlns="http://schemas.openxmlformats.org/spreadsheetml/2006/main" count="105" uniqueCount="87">
  <si>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</si>
  <si>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</si>
  <si>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</si>
  <si>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</si>
  <si>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</si>
  <si>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</si>
  <si>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</si>
  <si>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</si>
  <si>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</si>
  <si>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</si>
  <si>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</si>
  <si>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</si>
  <si>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</si>
  <si>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</si>
  <si>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</si>
  <si>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</si>
  <si>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</si>
  <si>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</si>
  <si>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</si>
  <si>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</si>
  <si>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</si>
  <si>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</si>
  <si>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</si>
  <si>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</si>
  <si>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</si>
  <si>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</si>
  <si>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</si>
  <si>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</si>
  <si>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</si>
  <si>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</si>
  <si>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</si>
  <si>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</si>
  <si>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</si>
  <si>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</si>
  <si>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</si>
  <si>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</si>
  <si>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</si>
  <si>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</si>
  <si>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</si>
  <si>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</si>
  <si>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</si>
  <si>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</si>
  <si>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</si>
  <si>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</si>
  <si>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</si>
  <si>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</si>
  <si>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</si>
  <si>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</si>
  <si>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</si>
  <si>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</si>
  <si>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</si>
  <si>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</si>
  <si>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</si>
  <si>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</si>
  <si>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</si>
  <si>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</si>
  <si>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</si>
  <si>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</si>
  <si>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</si>
  <si>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</si>
  <si>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</si>
  <si>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</si>
  <si>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</si>
  <si>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</si>
  <si>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</si>
  <si>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</si>
  <si>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</si>
  <si>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</si>
  <si>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</si>
  <si>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</si>
  <si>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</si>
  <si>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</si>
  <si>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</si>
  <si>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</si>
  <si>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</si>
  <si>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</si>
  <si>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</si>
  <si>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</si>
  <si>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</si>
  <si>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</si>
  <si>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</si>
  <si>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</si>
  <si>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</si>
  <si>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</si>
  <si>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</si>
  <si>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SHORT Master Alarm</t>
  </si>
  <si>
    <t>SHORT Master Alarm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</si>
</sst>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1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41904.246809953707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29" t="s">
        <v>25</v>
      </c>
      <c r="R5" s="129"/>
      <c r="S5" s="67"/>
      <c r="V5" s="114" t="s">
        <v>69</v>
      </c>
      <c r="W5" s="115"/>
      <c r="X5" s="115"/>
      <c r="Y5" s="115"/>
      <c r="Z5" s="115"/>
      <c r="AA5" s="116"/>
    </row>
    <row r="6" spans="2:27" ht="6.75" customHeight="1" x14ac:dyDescent="0.2">
      <c r="V6" s="117"/>
      <c r="W6" s="118"/>
      <c r="X6" s="118"/>
      <c r="Y6" s="118"/>
      <c r="Z6" s="118"/>
      <c r="AA6" s="119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31" t="s">
        <v>18</v>
      </c>
      <c r="E8" s="131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27" t="s">
        <v>32</v>
      </c>
      <c r="Q8" s="127"/>
      <c r="R8" s="127"/>
      <c r="S8" s="127"/>
      <c r="V8" s="105" t="s">
        <v>73</v>
      </c>
      <c r="W8" s="106"/>
      <c r="X8" s="106"/>
      <c r="Y8" s="107">
        <f>Q17+Q21-R17-R21</f>
        <v>-8</v>
      </c>
      <c r="Z8" s="108">
        <f>Push4DIndicator(9,Y8)</f>
        <v>9</v>
      </c>
      <c r="AA8" s="109" t="s">
        <v>79</v>
      </c>
    </row>
    <row r="9" spans="2:27" ht="18" customHeight="1" x14ac:dyDescent="0.2">
      <c r="C9" s="61" t="s">
        <v>0</v>
      </c>
      <c r="D9" s="131" t="s">
        <v>15</v>
      </c>
      <c r="E9" s="131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-3</v>
      </c>
      <c r="Z9" s="108">
        <f>Push4DIndicator(10,Y9)</f>
        <v>10</v>
      </c>
      <c r="AA9" s="110" t="s">
        <v>81</v>
      </c>
    </row>
    <row r="10" spans="2:27" s="2" customFormat="1" ht="21.75" customHeight="1" x14ac:dyDescent="0.2">
      <c r="C10" s="62" t="s">
        <v>2</v>
      </c>
      <c r="D10" s="132" t="s">
        <v>3</v>
      </c>
      <c r="E10" s="132"/>
      <c r="F10" s="75" t="e">
        <f>INT(RTD("garrayrtd.w59",,"a.48.1")) &amp; "-" &amp; INT(RTD("garrayrtd.w59",,"a.48.2")) &amp; " " &amp; INT(RTD("garrayrtd.w59",,"a.48.3"))</f>
        <v>#N/A</v>
      </c>
      <c r="G10" s="75" t="e">
        <f>INT(RTD("garrayrtd.w59",,"a.49.1")) &amp; "-" &amp; INT(RTD("garrayrtd.w59",,"a.49.2")) &amp; " " &amp; INT(RTD("garrayrtd.w59",,"a.49.3"))</f>
        <v>#N/A</v>
      </c>
      <c r="H10" s="75" t="e">
        <f>INT(RTD("garrayrtd.w59",,"a.50.1")) &amp; "-" &amp; INT(RTD("garrayrtd.w59",,"a.50.2")) &amp; " " &amp; INT(RTD("garrayrtd.w59",,"a.50.3"))</f>
        <v>#N/A</v>
      </c>
      <c r="I10" s="75" t="e">
        <f>INT(RTD("garrayrtd.w59",,"a.51.1")) &amp; "-" &amp; INT(RTD("garrayrtd.w59",,"a.51.2")) &amp; " " &amp; INT(RTD("garrayrtd.w59",,"a.51.3"))</f>
        <v>#N/A</v>
      </c>
      <c r="J10" s="75" t="e">
        <f>INT(RTD("garrayrtd.w59",,"a.52.1")) &amp; "-" &amp; INT(RTD("garrayrtd.w59",,"a.52.2")) &amp; " " &amp; INT(RTD("garrayrtd.w59",,"a.52.3"))</f>
        <v>#N/A</v>
      </c>
      <c r="K10" s="75" t="e">
        <f>INT(RTD("garrayrtd.w59",,"a.53.1")) &amp; "-" &amp; INT(RTD("garrayrtd.w59",,"a.53.2")) &amp; " " &amp; INT(RTD("garrayrtd.w59",,"a.53.3"))</f>
        <v>#N/A</v>
      </c>
      <c r="L10" s="75" t="e">
        <f>INT(RTD("garrayrtd.w59",,"a.54.1")) &amp; "-" &amp; INT(RTD("garrayrtd.w59",,"a.54.2")) &amp; " " &amp; INT(RTD("garrayrtd.w59",,"a.54.3"))</f>
        <v>#N/A</v>
      </c>
      <c r="M10" s="75" t="e">
        <f>INT(RTD("garrayrtd.w59",,"a.55.1")) &amp; "-" &amp; INT(RTD("garrayrtd.w59",,"a.55.2")) &amp; " " &amp; INT(RTD("garrayrtd.w59",,"a.55.3"))</f>
        <v>#N/A</v>
      </c>
      <c r="N10" s="75" t="e">
        <f>INT(RTD("garrayrtd.w59",,"a.56.1")) &amp; "-" &amp; INT(RTD("garrayrtd.w59",,"a.56.2")) &amp; " " &amp; INT(RTD("garrayrtd.w59",,"a.56.3"))</f>
        <v>#N/A</v>
      </c>
      <c r="O10" s="75" t="e">
        <f>INT(RTD("garrayrtd.w59",,"a.57.1")) &amp; "-" &amp; INT(RTD("garrayrtd.w59",,"a.57.2")) &amp; " " &amp; INT(RTD("garrayrtd.w59",,"a.57.3"))</f>
        <v>#N/A</v>
      </c>
      <c r="Q10" s="121">
        <f>IF(AND(Q17&gt;=Parameter!D8, Q21&gt;=Parameter!D9, R17&lt;=Parameter!D11, R21&lt;= Parameter!D12),1,0)</f>
        <v>0</v>
      </c>
      <c r="R10" s="124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-1</v>
      </c>
      <c r="Z10" s="113">
        <f>Push4DIndicator(11,Y10)</f>
        <v>11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2"/>
      <c r="R11" s="125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30" t="s">
        <v>61</v>
      </c>
      <c r="E12" s="8" t="s">
        <v>4</v>
      </c>
      <c r="F12" s="77" t="e">
        <f>1*(RTD("garrayrtd.w59",,"a.48.4"))</f>
        <v>#N/A</v>
      </c>
      <c r="G12" s="77" t="e">
        <f>1*(RTD("garrayrtd.w59",,"a.49.4"))</f>
        <v>#N/A</v>
      </c>
      <c r="H12" s="75" t="e">
        <f>1*RTD("garrayrtd.w59",,"a.50.4")</f>
        <v>#N/A</v>
      </c>
      <c r="I12" s="75" t="e">
        <f>1*RTD("garrayrtd.w59",,"a.51.4")</f>
        <v>#N/A</v>
      </c>
      <c r="J12" s="75" t="e">
        <f>1*RTD("garrayrtd.w59",,"a.52.4")</f>
        <v>#N/A</v>
      </c>
      <c r="K12" s="75" t="e">
        <f>1*RTD("garrayrtd.w59",,"a.53.4")</f>
        <v>#N/A</v>
      </c>
      <c r="L12" s="75" t="e">
        <f>1*RTD("garrayrtd.w59",,"a.54.4")</f>
        <v>#N/A</v>
      </c>
      <c r="M12" s="75" t="e">
        <f>1*RTD("garrayrtd.w59",,"a.55.4")</f>
        <v>#N/A</v>
      </c>
      <c r="N12" s="75" t="e">
        <f>1*RTD("garrayrtd.w59",,"a.56.4")</f>
        <v>#N/A</v>
      </c>
      <c r="O12" s="75" t="e">
        <f>1*RTD("garrayrtd.w59",,"a.57.4")</f>
        <v>#N/A</v>
      </c>
      <c r="Q12" s="123"/>
      <c r="R12" s="126"/>
      <c r="V12" s="95" t="s">
        <v>75</v>
      </c>
      <c r="W12" s="96"/>
      <c r="X12" s="96"/>
      <c r="Y12" s="85" t="e">
        <f>SUM(L12:O13)/8</f>
        <v>#N/A</v>
      </c>
      <c r="Z12" s="83" t="e">
        <f>Push4DIndicator(15,Y12)</f>
        <v>#VALUE!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30"/>
      <c r="E13" s="13" t="s">
        <v>19</v>
      </c>
      <c r="F13" s="75" t="e">
        <f>1*(RTD("garrayrtd.w59",,"a.48.5"))</f>
        <v>#N/A</v>
      </c>
      <c r="G13" s="75" t="e">
        <f>1*(RTD("garrayrtd.w59",,"a.49.5"))</f>
        <v>#N/A</v>
      </c>
      <c r="H13" s="75" t="e">
        <f>1*RTD("garrayrtd.w59",,"a.50.5")</f>
        <v>#N/A</v>
      </c>
      <c r="I13" s="75" t="e">
        <f>1*RTD("garrayrtd.w59",,"a.51.5")</f>
        <v>#N/A</v>
      </c>
      <c r="J13" s="75" t="e">
        <f>1*RTD("garrayrtd.w59",,"a.52.5")</f>
        <v>#N/A</v>
      </c>
      <c r="K13" s="75" t="e">
        <f>1*RTD("garrayrtd.w59",,"a.53.5")</f>
        <v>#N/A</v>
      </c>
      <c r="L13" s="75" t="e">
        <f>1*RTD("garrayrtd.w59",,"a.54.5")</f>
        <v>#N/A</v>
      </c>
      <c r="M13" s="75" t="e">
        <f>1*RTD("garrayrtd.w59",,"a.55.5")</f>
        <v>#N/A</v>
      </c>
      <c r="N13" s="75" t="e">
        <f>1*RTD("garrayrtd.w59",,"a.56.5")</f>
        <v>#N/A</v>
      </c>
      <c r="O13" s="75" t="e">
        <f>1*RTD("garrayrtd.w59",,"a.57.5")</f>
        <v>#N/A</v>
      </c>
      <c r="Q13" s="17"/>
      <c r="R13" s="16"/>
      <c r="V13" s="97" t="s">
        <v>72</v>
      </c>
      <c r="W13" s="98"/>
      <c r="X13" s="98"/>
      <c r="Y13" s="93" t="e">
        <f>(SUM(F12:H13)+SUM(J12:K13)+((-1)*(I12+I13)))/12</f>
        <v>#N/A</v>
      </c>
      <c r="Z13" s="99" t="e">
        <f>Push4DIndicator(16,Y13)</f>
        <v>#VALUE!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30" t="s">
        <v>59</v>
      </c>
      <c r="E15" s="8" t="s">
        <v>20</v>
      </c>
      <c r="F15" s="78" t="e">
        <f>1*(RTD("garrayrtd.w59",,"a.48.6"))</f>
        <v>#N/A</v>
      </c>
      <c r="G15" s="78" t="e">
        <f>1*(RTD("garrayrtd.w59",,"a.49.6"))</f>
        <v>#N/A</v>
      </c>
      <c r="H15" s="78" t="e">
        <f>1*RTD("garrayrtd.w59",,"a.50.6")</f>
        <v>#N/A</v>
      </c>
      <c r="I15" s="78" t="e">
        <f>1*RTD("garrayrtd.w59",,"a.51.6")</f>
        <v>#N/A</v>
      </c>
      <c r="J15" s="78" t="e">
        <f>1*RTD("garrayrtd.w59",,"a.52.6")</f>
        <v>#N/A</v>
      </c>
      <c r="K15" s="78" t="e">
        <f>1*RTD("garrayrtd.w59",,"a.53.6")</f>
        <v>#N/A</v>
      </c>
      <c r="L15" s="78" t="e">
        <f>1*RTD("garrayrtd.w59",,"a.54.6")</f>
        <v>#N/A</v>
      </c>
      <c r="M15" s="78" t="e">
        <f>1*RTD("garrayrtd.w59",,"a.55.6")</f>
        <v>#N/A</v>
      </c>
      <c r="N15" s="78" t="e">
        <f>1*RTD("garrayrtd.w59",,"a.56.6")</f>
        <v>#N/A</v>
      </c>
      <c r="O15" s="78" t="e">
        <f>1*RTD("garrayrtd.w59",,"a.57.6")</f>
        <v>#N/A</v>
      </c>
      <c r="P15" s="127" t="s">
        <v>26</v>
      </c>
      <c r="Q15" s="127"/>
      <c r="R15" s="127"/>
      <c r="S15" s="127"/>
    </row>
    <row r="16" spans="2:27" s="2" customFormat="1" ht="21" customHeight="1" x14ac:dyDescent="0.2">
      <c r="C16" s="63">
        <v>7</v>
      </c>
      <c r="D16" s="130"/>
      <c r="E16" s="8" t="s">
        <v>5</v>
      </c>
      <c r="F16" s="78" t="e">
        <f>1*(RTD("garrayrtd.w59",,"a.48.7"))</f>
        <v>#N/A</v>
      </c>
      <c r="G16" s="78" t="e">
        <f>1*(RTD("garrayrtd.w59",,"a.49.7"))</f>
        <v>#N/A</v>
      </c>
      <c r="H16" s="78" t="e">
        <f>1*RTD("garrayrtd.w59",,"a.50.7")</f>
        <v>#N/A</v>
      </c>
      <c r="I16" s="78" t="e">
        <f>1*RTD("garrayrtd.w59",,"a.51.7")</f>
        <v>#N/A</v>
      </c>
      <c r="J16" s="78" t="e">
        <f>1*RTD("garrayrtd.w59",,"a.52.7")</f>
        <v>#N/A</v>
      </c>
      <c r="K16" s="78" t="e">
        <f>1*RTD("garrayrtd.w59",,"a.53.7")</f>
        <v>#N/A</v>
      </c>
      <c r="L16" s="78" t="e">
        <f>1*RTD("garrayrtd.w59",,"a.54.7")</f>
        <v>#N/A</v>
      </c>
      <c r="M16" s="78" t="e">
        <f>1*RTD("garrayrtd.w59",,"a.55.7")</f>
        <v>#N/A</v>
      </c>
      <c r="N16" s="78" t="e">
        <f>1*RTD("garrayrtd.w59",,"a.56.7")</f>
        <v>#N/A</v>
      </c>
      <c r="O16" s="78" t="e">
        <f>1*RTD("garrayrtd.w59",,"a.57.7")</f>
        <v>#N/A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30"/>
      <c r="E17" s="8" t="s">
        <v>10</v>
      </c>
      <c r="F17" s="78" t="e">
        <f>1*RTD("garrayrtd.w59",,"a.48.8")</f>
        <v>#N/A</v>
      </c>
      <c r="G17" s="78" t="e">
        <f>1*RTD("garrayrtd.w59",,"a.49.8")</f>
        <v>#N/A</v>
      </c>
      <c r="H17" s="78" t="e">
        <f>1*RTD("garrayrtd.w59",,"a.50.8")</f>
        <v>#N/A</v>
      </c>
      <c r="I17" s="78" t="e">
        <f>1*RTD("garrayrtd.w59",,"a.51.8")</f>
        <v>#N/A</v>
      </c>
      <c r="J17" s="78" t="e">
        <f>1*RTD("garrayrtd.w59",,"a.52.8")</f>
        <v>#N/A</v>
      </c>
      <c r="K17" s="78" t="e">
        <f>1*RTD("garrayrtd.w59",,"a.53.8")</f>
        <v>#N/A</v>
      </c>
      <c r="L17" s="78" t="e">
        <f>1*RTD("garrayrtd.w59",,"a.54.8")</f>
        <v>#N/A</v>
      </c>
      <c r="M17" s="78" t="e">
        <f>1*RTD("garrayrtd.w59",,"a.55.8")</f>
        <v>#N/A</v>
      </c>
      <c r="N17" s="78" t="e">
        <f>1*RTD("garrayrtd.w59",,"a.56.8")</f>
        <v>#N/A</v>
      </c>
      <c r="O17" s="78" t="e">
        <f>1*RTD("garrayrtd.w59",,"a.57.8")</f>
        <v>#N/A</v>
      </c>
      <c r="P17" s="18"/>
      <c r="Q17" s="120">
        <f>SumCellColor($F$15:$O$18,Parameter!$D$26)</f>
        <v>4</v>
      </c>
      <c r="R17" s="120">
        <f>SumCellColor($F$15:$O$18,Parameter!$D$27)</f>
        <v>36</v>
      </c>
      <c r="V17" s="89"/>
    </row>
    <row r="18" spans="3:22" s="2" customFormat="1" ht="21" customHeight="1" x14ac:dyDescent="0.2">
      <c r="C18" s="63">
        <v>9</v>
      </c>
      <c r="D18" s="130"/>
      <c r="E18" s="8" t="s">
        <v>7</v>
      </c>
      <c r="F18" s="78" t="e">
        <f>1*RTD("garrayrtd.w59",,"a.48.9")</f>
        <v>#N/A</v>
      </c>
      <c r="G18" s="78" t="e">
        <f>1*RTD("garrayrtd.w59",,"a.49.9")</f>
        <v>#N/A</v>
      </c>
      <c r="H18" s="78" t="e">
        <f>1*RTD("garrayrtd.w59",,"a.50.9")</f>
        <v>#N/A</v>
      </c>
      <c r="I18" s="78" t="e">
        <f>1*RTD("garrayrtd.w59",,"a.51.9")</f>
        <v>#N/A</v>
      </c>
      <c r="J18" s="78" t="e">
        <f>1*RTD("garrayrtd.w59",,"a.52.9")</f>
        <v>#N/A</v>
      </c>
      <c r="K18" s="78" t="e">
        <f>1*RTD("garrayrtd.w59",,"a.53.9")</f>
        <v>#N/A</v>
      </c>
      <c r="L18" s="78" t="e">
        <f>1*RTD("garrayrtd.w59",,"a.54.9")</f>
        <v>#N/A</v>
      </c>
      <c r="M18" s="78" t="e">
        <f>1*RTD("garrayrtd.w59",,"a.55.9")</f>
        <v>#N/A</v>
      </c>
      <c r="N18" s="78" t="e">
        <f>1*RTD("garrayrtd.w59",,"a.56.9")</f>
        <v>#N/A</v>
      </c>
      <c r="O18" s="78" t="e">
        <f>1*RTD("garrayrtd.w59",,"a.57.9")</f>
        <v>#N/A</v>
      </c>
      <c r="P18" s="18"/>
      <c r="Q18" s="120"/>
      <c r="R18" s="120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30" t="s">
        <v>60</v>
      </c>
      <c r="E20" s="8" t="s">
        <v>8</v>
      </c>
      <c r="F20" s="75" t="e">
        <f>1*RTD("garrayrtd.w59",,"a.48.10")</f>
        <v>#N/A</v>
      </c>
      <c r="G20" s="75" t="e">
        <f>1*RTD("garrayrtd.w59",,"a.49.10")</f>
        <v>#N/A</v>
      </c>
      <c r="H20" s="75" t="e">
        <f>1*RTD("garrayrtd.w59",,"a.50.10")</f>
        <v>#N/A</v>
      </c>
      <c r="I20" s="75" t="e">
        <f>1*RTD("garrayrtd.w59",,"a.51.10")</f>
        <v>#N/A</v>
      </c>
      <c r="J20" s="75" t="e">
        <f>1*RTD("garrayrtd.w59",,"a.52.10")</f>
        <v>#N/A</v>
      </c>
      <c r="K20" s="75" t="e">
        <f>1*RTD("garrayrtd.w59",,"a.53.10")</f>
        <v>#N/A</v>
      </c>
      <c r="L20" s="75" t="e">
        <f>1*RTD("garrayrtd.w59",,"a.54.10")</f>
        <v>#N/A</v>
      </c>
      <c r="M20" s="75" t="e">
        <f>1*RTD("garrayrtd.w59",,"a.55.10")</f>
        <v>#N/A</v>
      </c>
      <c r="N20" s="75" t="e">
        <f>1*RTD("garrayrtd.w59",,"a.56.10")</f>
        <v>#N/A</v>
      </c>
      <c r="O20" s="75" t="e">
        <f>1*RTD("garrayrtd.w59",,"a.57.10")</f>
        <v>#N/A</v>
      </c>
      <c r="P20" s="128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30"/>
      <c r="E21" s="8" t="s">
        <v>11</v>
      </c>
      <c r="F21" s="75" t="e">
        <f>1*RTD("garrayrtd.w59",,"a.48.11")</f>
        <v>#N/A</v>
      </c>
      <c r="G21" s="75" t="e">
        <f>1*RTD("garrayrtd.w59",,"a.49.11")</f>
        <v>#N/A</v>
      </c>
      <c r="H21" s="75" t="e">
        <f>1*RTD("garrayrtd.w59",,"a.50.11")</f>
        <v>#N/A</v>
      </c>
      <c r="I21" s="75" t="e">
        <f>1*RTD("garrayrtd.w59",,"a.51.11")</f>
        <v>#N/A</v>
      </c>
      <c r="J21" s="75" t="e">
        <f>1*RTD("garrayrtd.w59",,"a.52.11")</f>
        <v>#N/A</v>
      </c>
      <c r="K21" s="75" t="e">
        <f>1*RTD("garrayrtd.w59",,"a.53.11")</f>
        <v>#N/A</v>
      </c>
      <c r="L21" s="75" t="e">
        <f>1*RTD("garrayrtd.w59",,"a.54.11")</f>
        <v>#N/A</v>
      </c>
      <c r="M21" s="75" t="e">
        <f>1*RTD("garrayrtd.w59",,"a.55.11")</f>
        <v>#N/A</v>
      </c>
      <c r="N21" s="75" t="e">
        <f>1*RTD("garrayrtd.w59",,"a.56.11")</f>
        <v>#N/A</v>
      </c>
      <c r="O21" s="75" t="e">
        <f>1*RTD("garrayrtd.w59",,"a.57.11")</f>
        <v>#N/A</v>
      </c>
      <c r="P21" s="128"/>
      <c r="Q21" s="120">
        <f>SumCellColor($F$20:$O$22,Parameter!$D$26)</f>
        <v>27</v>
      </c>
      <c r="R21" s="120">
        <f>SumCellColor($F$20:$O$22,Parameter!$D$27)</f>
        <v>3</v>
      </c>
    </row>
    <row r="22" spans="3:22" s="2" customFormat="1" ht="21" customHeight="1" x14ac:dyDescent="0.2">
      <c r="C22" s="63">
        <v>12</v>
      </c>
      <c r="D22" s="130"/>
      <c r="E22" s="8" t="s">
        <v>12</v>
      </c>
      <c r="F22" s="75" t="e">
        <f>1*RTD("garrayrtd.w59",,"a.48.12")</f>
        <v>#N/A</v>
      </c>
      <c r="G22" s="75" t="e">
        <f>1*RTD("garrayrtd.w59",,"a.49.12")</f>
        <v>#N/A</v>
      </c>
      <c r="H22" s="75" t="e">
        <f>1*RTD("garrayrtd.w59",,"a.50.12")</f>
        <v>#N/A</v>
      </c>
      <c r="I22" s="75" t="e">
        <f>1*RTD("garrayrtd.w59",,"a.51.12")</f>
        <v>#N/A</v>
      </c>
      <c r="J22" s="75" t="e">
        <f>1*RTD("garrayrtd.w59",,"a.52.12")</f>
        <v>#N/A</v>
      </c>
      <c r="K22" s="75" t="e">
        <f>1*RTD("garrayrtd.w59",,"a.53.12")</f>
        <v>#N/A</v>
      </c>
      <c r="L22" s="75" t="e">
        <f>1*RTD("garrayrtd.w59",,"a.54.12")</f>
        <v>#N/A</v>
      </c>
      <c r="M22" s="75" t="e">
        <f>1*RTD("garrayrtd.w59",,"a.55.12")</f>
        <v>#N/A</v>
      </c>
      <c r="N22" s="75" t="e">
        <f>1*RTD("garrayrtd.w59",,"a.56.12")</f>
        <v>#N/A</v>
      </c>
      <c r="O22" s="75" t="e">
        <f>1*RTD("garrayrtd.w59",,"a.57.12")</f>
        <v>#N/A</v>
      </c>
      <c r="P22" s="128"/>
      <c r="Q22" s="120"/>
      <c r="R22" s="120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mergeCells count="17">
    <mergeCell ref="D20:D22"/>
    <mergeCell ref="D8:E8"/>
    <mergeCell ref="D9:E9"/>
    <mergeCell ref="D10:E10"/>
    <mergeCell ref="D12:D13"/>
    <mergeCell ref="D15:D18"/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29" t="s">
        <v>35</v>
      </c>
      <c r="C3" s="129"/>
      <c r="D3" s="129"/>
      <c r="E3" s="129"/>
      <c r="G3" s="139"/>
      <c r="H3" s="139"/>
      <c r="I3" s="139"/>
      <c r="J3" s="139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3" t="s">
        <v>36</v>
      </c>
      <c r="C5" s="134"/>
      <c r="D5" s="134"/>
      <c r="E5" s="135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6" t="s">
        <v>40</v>
      </c>
      <c r="C15" s="137"/>
      <c r="D15" s="137"/>
      <c r="E15" s="138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0" t="s">
        <v>53</v>
      </c>
      <c r="C3" s="140"/>
    </row>
    <row r="4" spans="1:3" x14ac:dyDescent="0.2">
      <c r="B4" s="24">
        <f>COUNTA(B7:B3000)</f>
        <v>4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>
        <v>41870.818958333337</v>
      </c>
      <c r="C7" s="53" t="s">
        <v>85</v>
      </c>
    </row>
    <row r="8" spans="1:3" s="12" customFormat="1" ht="22.5" customHeight="1" x14ac:dyDescent="0.2">
      <c r="B8" s="57">
        <v>41870.821562500001</v>
      </c>
      <c r="C8" s="53" t="s">
        <v>86</v>
      </c>
    </row>
    <row r="9" spans="1:3" s="12" customFormat="1" ht="22.5" customHeight="1" x14ac:dyDescent="0.2">
      <c r="B9" s="57">
        <v>41870.82335648148</v>
      </c>
      <c r="C9" s="53" t="s">
        <v>85</v>
      </c>
    </row>
    <row r="10" spans="1:3" s="12" customFormat="1" ht="22.5" customHeight="1" x14ac:dyDescent="0.2">
      <c r="B10" s="57">
        <v>41870.823796296296</v>
      </c>
      <c r="C10" s="53" t="s">
        <v>86</v>
      </c>
    </row>
    <row r="11" spans="1:3" s="12" customFormat="1" ht="22.5" customHeight="1" x14ac:dyDescent="0.2">
      <c r="B11" s="57"/>
      <c r="C11" s="53"/>
    </row>
    <row r="12" spans="1:3" s="12" customFormat="1" ht="22.5" customHeight="1" x14ac:dyDescent="0.2">
      <c r="B12" s="57"/>
      <c r="C12" s="53"/>
    </row>
    <row r="13" spans="1:3" s="12" customFormat="1" ht="22.5" customHeight="1" x14ac:dyDescent="0.2">
      <c r="B13" s="57"/>
      <c r="C13" s="53"/>
    </row>
    <row r="14" spans="1:3" s="12" customFormat="1" ht="22.5" customHeight="1" x14ac:dyDescent="0.2">
      <c r="B14" s="57"/>
      <c r="C14" s="53"/>
    </row>
    <row r="15" spans="1:3" s="12" customFormat="1" ht="22.5" customHeight="1" x14ac:dyDescent="0.2">
      <c r="B15" s="57"/>
      <c r="C15" s="53"/>
    </row>
    <row r="16" spans="1:3" s="12" customFormat="1" ht="22.5" customHeight="1" x14ac:dyDescent="0.2">
      <c r="B16" s="57"/>
      <c r="C16" s="53"/>
    </row>
    <row r="17" spans="2:3" s="12" customFormat="1" ht="22.5" customHeight="1" x14ac:dyDescent="0.2">
      <c r="B17" s="57"/>
      <c r="C17" s="53"/>
    </row>
    <row r="18" spans="2:3" s="12" customFormat="1" ht="22.5" customHeight="1" x14ac:dyDescent="0.2">
      <c r="B18" s="57"/>
      <c r="C18" s="53"/>
    </row>
    <row r="19" spans="2:3" s="12" customFormat="1" ht="22.5" customHeight="1" x14ac:dyDescent="0.2">
      <c r="B19" s="57"/>
      <c r="C19" s="53"/>
    </row>
    <row r="20" spans="2:3" s="12" customFormat="1" ht="22.5" customHeight="1" x14ac:dyDescent="0.2">
      <c r="B20" s="57"/>
      <c r="C20" s="53"/>
    </row>
    <row r="21" spans="2:3" s="12" customFormat="1" ht="22.5" customHeight="1" x14ac:dyDescent="0.2">
      <c r="B21" s="57"/>
      <c r="C21" s="53"/>
    </row>
    <row r="22" spans="2:3" s="12" customFormat="1" ht="22.5" customHeight="1" x14ac:dyDescent="0.2">
      <c r="B22" s="57"/>
      <c r="C22" s="53"/>
    </row>
    <row r="23" spans="2:3" s="12" customFormat="1" ht="22.5" customHeight="1" x14ac:dyDescent="0.2">
      <c r="B23" s="57"/>
      <c r="C23" s="53"/>
    </row>
    <row r="24" spans="2:3" s="12" customFormat="1" ht="22.5" customHeight="1" x14ac:dyDescent="0.2">
      <c r="B24" s="57"/>
      <c r="C24" s="53"/>
    </row>
    <row r="25" spans="2:3" s="12" customFormat="1" ht="22.5" customHeight="1" x14ac:dyDescent="0.2">
      <c r="B25" s="57"/>
      <c r="C25" s="53"/>
    </row>
    <row r="26" spans="2:3" s="12" customFormat="1" ht="22.5" customHeight="1" x14ac:dyDescent="0.2">
      <c r="B26" s="57"/>
      <c r="C26" s="53"/>
    </row>
    <row r="27" spans="2:3" s="12" customFormat="1" ht="22.5" customHeight="1" x14ac:dyDescent="0.2">
      <c r="B27" s="57"/>
      <c r="C27" s="53"/>
    </row>
    <row r="28" spans="2:3" s="12" customFormat="1" ht="22.5" customHeight="1" x14ac:dyDescent="0.2">
      <c r="B28" s="57"/>
      <c r="C28" s="53"/>
    </row>
    <row r="29" spans="2:3" s="12" customFormat="1" ht="22.5" customHeight="1" x14ac:dyDescent="0.2">
      <c r="B29" s="57"/>
      <c r="C29" s="53"/>
    </row>
    <row r="30" spans="2:3" s="12" customFormat="1" ht="22.5" customHeight="1" x14ac:dyDescent="0.2">
      <c r="B30" s="57"/>
      <c r="C30" s="53"/>
    </row>
    <row r="31" spans="2:3" s="12" customFormat="1" ht="22.5" customHeight="1" x14ac:dyDescent="0.2">
      <c r="B31" s="57"/>
      <c r="C31" s="53"/>
    </row>
    <row r="32" spans="2:3" s="12" customFormat="1" ht="22.5" customHeight="1" x14ac:dyDescent="0.2">
      <c r="B32" s="57"/>
      <c r="C32" s="53"/>
    </row>
    <row r="33" spans="2:3" s="12" customFormat="1" ht="22.5" customHeight="1" x14ac:dyDescent="0.2">
      <c r="B33" s="57"/>
      <c r="C33" s="53"/>
    </row>
    <row r="34" spans="2:3" s="12" customFormat="1" ht="22.5" customHeight="1" x14ac:dyDescent="0.2">
      <c r="B34" s="57"/>
      <c r="C34" s="53"/>
    </row>
    <row r="35" spans="2:3" s="12" customFormat="1" ht="22.5" customHeight="1" x14ac:dyDescent="0.2">
      <c r="B35" s="57"/>
      <c r="C35" s="53"/>
    </row>
    <row r="36" spans="2:3" s="12" customFormat="1" ht="22.5" customHeight="1" x14ac:dyDescent="0.2">
      <c r="B36" s="57"/>
      <c r="C36" s="53"/>
    </row>
    <row r="37" spans="2:3" s="12" customFormat="1" ht="22.5" customHeight="1" x14ac:dyDescent="0.2">
      <c r="B37" s="57"/>
      <c r="C37" s="53"/>
    </row>
    <row r="38" spans="2:3" s="12" customFormat="1" ht="22.5" customHeight="1" x14ac:dyDescent="0.2">
      <c r="B38" s="57"/>
      <c r="C38" s="53"/>
    </row>
    <row r="39" spans="2:3" s="12" customFormat="1" ht="22.5" customHeight="1" x14ac:dyDescent="0.2">
      <c r="B39" s="57"/>
      <c r="C39" s="53"/>
    </row>
    <row r="40" spans="2:3" s="12" customFormat="1" ht="22.5" customHeight="1" x14ac:dyDescent="0.2">
      <c r="B40" s="57"/>
      <c r="C40" s="53"/>
    </row>
    <row r="41" spans="2:3" s="12" customFormat="1" ht="22.5" customHeight="1" x14ac:dyDescent="0.2">
      <c r="B41" s="57"/>
      <c r="C41" s="53"/>
    </row>
    <row r="42" spans="2:3" s="12" customFormat="1" ht="22.5" customHeight="1" x14ac:dyDescent="0.2">
      <c r="B42" s="57"/>
      <c r="C42" s="53"/>
    </row>
    <row r="43" spans="2:3" s="12" customFormat="1" ht="22.5" customHeight="1" x14ac:dyDescent="0.2">
      <c r="B43" s="57"/>
      <c r="C43" s="53"/>
    </row>
    <row r="44" spans="2:3" s="12" customFormat="1" ht="22.5" customHeight="1" x14ac:dyDescent="0.2">
      <c r="B44" s="57"/>
      <c r="C44" s="53"/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eMini Template</vt:lpstr>
      <vt:lpstr>Parameter</vt:lpstr>
      <vt:lpstr>EventLog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Elly Sugianto</cp:lastModifiedBy>
  <dcterms:created xsi:type="dcterms:W3CDTF">2001-06-11T22:40:21Z</dcterms:created>
  <dcterms:modified xsi:type="dcterms:W3CDTF">2014-09-22T09:55:32Z</dcterms:modified>
</cp:coreProperties>
</file>