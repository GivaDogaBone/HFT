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af45228d318e4511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R17" i="2"/>
  <c r="Z9" i="2"/>
  <c r="Z12" i="2"/>
  <c r="Z13" i="2"/>
  <c r="Z10" i="2"/>
  <c r="Y8" i="2" l="1"/>
  <c r="R10" i="2"/>
  <c r="Q10" i="2"/>
  <c r="Z8" i="2"/>
</calcChain>
</file>

<file path=xl/sharedStrings.xml><?xml version="1.0" encoding="utf-8"?>
<sst xmlns="http://schemas.openxmlformats.org/spreadsheetml/2006/main" count="144" uniqueCount="92">
  <si>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</si>
  <si>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</si>
  <si>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</si>
  <si>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</si>
  <si>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</si>
  <si>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</si>
  <si>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</si>
  <si>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</si>
  <si>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</si>
  <si>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</si>
  <si>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</si>
  <si>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</si>
  <si>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</si>
  <si>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</si>
  <si>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</si>
  <si>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</si>
  <si>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</si>
  <si>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</si>
  <si>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</si>
  <si>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</si>
  <si>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</si>
  <si>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</si>
  <si>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</si>
  <si>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</si>
  <si>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</si>
  <si>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</si>
  <si>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</si>
  <si>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</si>
  <si>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</si>
  <si>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</si>
  <si>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</si>
  <si>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</si>
  <si>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</si>
  <si>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</si>
  <si>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</si>
  <si>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</si>
  <si>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</si>
  <si>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</si>
  <si>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</si>
  <si>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</si>
  <si>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</si>
  <si>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</si>
  <si>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</si>
  <si>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</si>
  <si>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</si>
  <si>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</si>
  <si>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</si>
  <si>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</si>
  <si>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</si>
  <si>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</si>
  <si>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</si>
  <si>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</si>
  <si>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</si>
  <si>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</si>
  <si>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</si>
  <si>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</si>
  <si>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</si>
  <si>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</si>
  <si>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</si>
  <si>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</si>
  <si>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</si>
  <si>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</si>
  <si>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</si>
  <si>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</si>
  <si>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</si>
  <si>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</si>
  <si>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</si>
  <si>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</si>
  <si>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</si>
  <si>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</si>
  <si>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</si>
  <si>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</si>
  <si>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</si>
  <si>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</si>
  <si>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</si>
  <si>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</si>
  <si>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</si>
  <si>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</si>
  <si>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</si>
  <si>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</si>
  <si>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</si>
  <si>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</si>
  <si>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</si>
  <si>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</si>
  <si>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</si>
  <si>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</si>
  <si>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</si>
  <si>
    <t>Account Name</t>
  </si>
  <si>
    <t>Product Name</t>
  </si>
  <si>
    <t>Instrument Name</t>
  </si>
  <si>
    <t>Dec14</t>
  </si>
  <si>
    <t>LONG Master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</si>
</sst>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microsoft.com/office/2006/relationships/vbaProject" Target="vbaProject.bin" Id="rId10" /><Relationship Type="http://schemas.openxmlformats.org/officeDocument/2006/relationships/worksheet" Target="worksheets/sheet4.xml" Id="rId4" /><Relationship Type="http://schemas.openxmlformats.org/officeDocument/2006/relationships/volatileDependencies" Target="volatileDependencies.xml" Id="rId9" /><Relationship Type="http://schemas.openxmlformats.org/officeDocument/2006/relationships/customXml" Target="../vstoDataStore/item1.xml" Id="R0230cf73972742db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41956.076080671293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4" t="s">
        <v>25</v>
      </c>
      <c r="R5" s="134"/>
      <c r="S5" s="67"/>
      <c r="V5" s="119" t="s">
        <v>69</v>
      </c>
      <c r="W5" s="120"/>
      <c r="X5" s="120"/>
      <c r="Y5" s="120"/>
      <c r="Z5" s="120"/>
      <c r="AA5" s="121"/>
    </row>
    <row r="6" spans="2:27" ht="6.75" customHeight="1" x14ac:dyDescent="0.2">
      <c r="V6" s="122"/>
      <c r="W6" s="123"/>
      <c r="X6" s="123"/>
      <c r="Y6" s="123"/>
      <c r="Z6" s="123"/>
      <c r="AA6" s="124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17" t="s">
        <v>18</v>
      </c>
      <c r="E8" s="117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32" t="s">
        <v>32</v>
      </c>
      <c r="Q8" s="132"/>
      <c r="R8" s="132"/>
      <c r="S8" s="132"/>
      <c r="V8" s="105" t="s">
        <v>73</v>
      </c>
      <c r="W8" s="106"/>
      <c r="X8" s="106"/>
      <c r="Y8" s="107">
        <f>Q17+Q21-R17-R21</f>
        <v>11</v>
      </c>
      <c r="Z8" s="108" t="e">
        <f>Push4DIndicator(9,Y8)</f>
        <v>#VALUE!</v>
      </c>
      <c r="AA8" s="109" t="s">
        <v>79</v>
      </c>
    </row>
    <row r="9" spans="2:27" ht="18" customHeight="1" x14ac:dyDescent="0.2">
      <c r="C9" s="61" t="s">
        <v>0</v>
      </c>
      <c r="D9" s="117" t="s">
        <v>15</v>
      </c>
      <c r="E9" s="117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 t="e">
        <f>Push4DIndicator(10,Y9)</f>
        <v>#VALUE!</v>
      </c>
      <c r="AA9" s="110" t="s">
        <v>81</v>
      </c>
    </row>
    <row r="10" spans="2:27" s="2" customFormat="1" ht="21.75" customHeight="1" x14ac:dyDescent="0.2">
      <c r="C10" s="62" t="s">
        <v>2</v>
      </c>
      <c r="D10" s="118" t="s">
        <v>3</v>
      </c>
      <c r="E10" s="118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6">
        <f>IF(AND(Q17&gt;=Parameter!D8, Q21&gt;=Parameter!D9, R17&lt;=Parameter!D11, R21&lt;= Parameter!D12),1,0)</f>
        <v>0</v>
      </c>
      <c r="R10" s="129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 t="e">
        <f>Push4DIndicator(11,Y10)</f>
        <v>#VALUE!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7"/>
      <c r="R11" s="130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16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8"/>
      <c r="R12" s="131"/>
      <c r="V12" s="95" t="s">
        <v>75</v>
      </c>
      <c r="W12" s="96"/>
      <c r="X12" s="96"/>
      <c r="Y12" s="85">
        <f>SUM(L12:O13)/8</f>
        <v>-0.75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16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16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32" t="s">
        <v>26</v>
      </c>
      <c r="Q15" s="132"/>
      <c r="R15" s="132"/>
      <c r="S15" s="132"/>
    </row>
    <row r="16" spans="2:27" s="2" customFormat="1" ht="21" customHeight="1" x14ac:dyDescent="0.2">
      <c r="C16" s="63">
        <v>7</v>
      </c>
      <c r="D16" s="116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16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5">
        <f>SumCellColor($F$15:$O$18,Parameter!$D$26)</f>
        <v>11</v>
      </c>
      <c r="R17" s="125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16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5"/>
      <c r="R18" s="125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16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3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16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3"/>
      <c r="Q21" s="125">
        <f>SumCellColor($F$20:$O$22,Parameter!$D$26)</f>
        <v>11</v>
      </c>
      <c r="R21" s="125">
        <f>SumCellColor($F$20:$O$22,Parameter!$D$27)</f>
        <v>6</v>
      </c>
    </row>
    <row r="22" spans="3:22" s="2" customFormat="1" ht="21" customHeight="1" x14ac:dyDescent="0.2">
      <c r="C22" s="63">
        <v>12</v>
      </c>
      <c r="D22" s="116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3"/>
      <c r="Q22" s="125"/>
      <c r="R22" s="125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  <mergeCell ref="D20:D22"/>
    <mergeCell ref="D8:E8"/>
    <mergeCell ref="D9:E9"/>
    <mergeCell ref="D10:E10"/>
    <mergeCell ref="D12:D13"/>
    <mergeCell ref="D15:D18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4" t="s">
        <v>35</v>
      </c>
      <c r="C3" s="134"/>
      <c r="D3" s="134"/>
      <c r="E3" s="134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38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>
        <v>41953.948020833333</v>
      </c>
      <c r="C11" s="53" t="s">
        <v>85</v>
      </c>
    </row>
    <row r="12" spans="1:3" s="12" customFormat="1" ht="22.5" customHeight="1" x14ac:dyDescent="0.2">
      <c r="B12" s="57">
        <v>41953.948599537034</v>
      </c>
      <c r="C12" s="53" t="s">
        <v>85</v>
      </c>
    </row>
    <row r="13" spans="1:3" s="12" customFormat="1" ht="22.5" customHeight="1" x14ac:dyDescent="0.2">
      <c r="B13" s="57">
        <v>41953.94935185185</v>
      </c>
      <c r="C13" s="53" t="s">
        <v>85</v>
      </c>
    </row>
    <row r="14" spans="1:3" s="12" customFormat="1" ht="22.5" customHeight="1" x14ac:dyDescent="0.2">
      <c r="B14" s="57">
        <v>41953.950127314813</v>
      </c>
      <c r="C14" s="53" t="s">
        <v>85</v>
      </c>
    </row>
    <row r="15" spans="1:3" s="12" customFormat="1" ht="22.5" customHeight="1" x14ac:dyDescent="0.2">
      <c r="B15" s="57">
        <v>41953.950914351852</v>
      </c>
      <c r="C15" s="53" t="s">
        <v>85</v>
      </c>
    </row>
    <row r="16" spans="1:3" s="12" customFormat="1" ht="22.5" customHeight="1" x14ac:dyDescent="0.2">
      <c r="B16" s="57">
        <v>41953.95140046296</v>
      </c>
      <c r="C16" s="53" t="s">
        <v>85</v>
      </c>
    </row>
    <row r="17" spans="2:3" s="12" customFormat="1" ht="22.5" customHeight="1" x14ac:dyDescent="0.2">
      <c r="B17" s="57">
        <v>41953.95208333333</v>
      </c>
      <c r="C17" s="53" t="s">
        <v>85</v>
      </c>
    </row>
    <row r="18" spans="2:3" s="12" customFormat="1" ht="22.5" customHeight="1" x14ac:dyDescent="0.2">
      <c r="B18" s="57">
        <v>41953.95208333333</v>
      </c>
      <c r="C18" s="53" t="s">
        <v>85</v>
      </c>
    </row>
    <row r="19" spans="2:3" s="12" customFormat="1" ht="22.5" customHeight="1" x14ac:dyDescent="0.2">
      <c r="B19" s="57">
        <v>41953.96943287037</v>
      </c>
      <c r="C19" s="53" t="s">
        <v>85</v>
      </c>
    </row>
    <row r="20" spans="2:3" s="12" customFormat="1" ht="22.5" customHeight="1" x14ac:dyDescent="0.2">
      <c r="B20" s="57">
        <v>41953.970138888886</v>
      </c>
      <c r="C20" s="53" t="s">
        <v>85</v>
      </c>
    </row>
    <row r="21" spans="2:3" s="12" customFormat="1" ht="22.5" customHeight="1" x14ac:dyDescent="0.2">
      <c r="B21" s="57">
        <v>41953.970856481479</v>
      </c>
      <c r="C21" s="53" t="s">
        <v>85</v>
      </c>
    </row>
    <row r="22" spans="2:3" s="12" customFormat="1" ht="22.5" customHeight="1" x14ac:dyDescent="0.2">
      <c r="B22" s="57">
        <v>41953.973067129627</v>
      </c>
      <c r="C22" s="53" t="s">
        <v>85</v>
      </c>
    </row>
    <row r="23" spans="2:3" s="12" customFormat="1" ht="22.5" customHeight="1" x14ac:dyDescent="0.2">
      <c r="B23" s="57">
        <v>41953.973657407405</v>
      </c>
      <c r="C23" s="53" t="s">
        <v>85</v>
      </c>
    </row>
    <row r="24" spans="2:3" s="12" customFormat="1" ht="22.5" customHeight="1" x14ac:dyDescent="0.2">
      <c r="B24" s="57">
        <v>41953.974560185183</v>
      </c>
      <c r="C24" s="53" t="s">
        <v>85</v>
      </c>
    </row>
    <row r="25" spans="2:3" s="12" customFormat="1" ht="22.5" customHeight="1" x14ac:dyDescent="0.2">
      <c r="B25" s="57">
        <v>41953.975208333337</v>
      </c>
      <c r="C25" s="53" t="s">
        <v>85</v>
      </c>
    </row>
    <row r="26" spans="2:3" s="12" customFormat="1" ht="22.5" customHeight="1" x14ac:dyDescent="0.2">
      <c r="B26" s="57">
        <v>41953.975787037038</v>
      </c>
      <c r="C26" s="53" t="s">
        <v>85</v>
      </c>
    </row>
    <row r="27" spans="2:3" s="12" customFormat="1" ht="22.5" customHeight="1" x14ac:dyDescent="0.2">
      <c r="B27" s="57">
        <v>41953.97729166667</v>
      </c>
      <c r="C27" s="53" t="s">
        <v>85</v>
      </c>
    </row>
    <row r="28" spans="2:3" s="12" customFormat="1" ht="22.5" customHeight="1" x14ac:dyDescent="0.2">
      <c r="B28" s="57">
        <v>41953.981481481482</v>
      </c>
      <c r="C28" s="53" t="s">
        <v>85</v>
      </c>
    </row>
    <row r="29" spans="2:3" s="12" customFormat="1" ht="22.5" customHeight="1" x14ac:dyDescent="0.2">
      <c r="B29" s="57">
        <v>41953.982743055552</v>
      </c>
      <c r="C29" s="53" t="s">
        <v>85</v>
      </c>
    </row>
    <row r="30" spans="2:3" s="12" customFormat="1" ht="22.5" customHeight="1" x14ac:dyDescent="0.2">
      <c r="B30" s="57">
        <v>41953.984710648147</v>
      </c>
      <c r="C30" s="53" t="s">
        <v>85</v>
      </c>
    </row>
    <row r="31" spans="2:3" s="12" customFormat="1" ht="22.5" customHeight="1" x14ac:dyDescent="0.2">
      <c r="B31" s="57">
        <v>41953.986180555556</v>
      </c>
      <c r="C31" s="53" t="s">
        <v>85</v>
      </c>
    </row>
    <row r="32" spans="2:3" s="12" customFormat="1" ht="22.5" customHeight="1" x14ac:dyDescent="0.2">
      <c r="B32" s="57">
        <v>41953.987500000003</v>
      </c>
      <c r="C32" s="53" t="s">
        <v>85</v>
      </c>
    </row>
    <row r="33" spans="2:3" s="12" customFormat="1" ht="22.5" customHeight="1" x14ac:dyDescent="0.2">
      <c r="B33" s="57">
        <v>41953.988182870373</v>
      </c>
      <c r="C33" s="53" t="s">
        <v>85</v>
      </c>
    </row>
    <row r="34" spans="2:3" s="12" customFormat="1" ht="22.5" customHeight="1" x14ac:dyDescent="0.2">
      <c r="B34" s="57">
        <v>41953.988912037035</v>
      </c>
      <c r="C34" s="53" t="s">
        <v>85</v>
      </c>
    </row>
    <row r="35" spans="2:3" s="12" customFormat="1" ht="22.5" customHeight="1" x14ac:dyDescent="0.2">
      <c r="B35" s="57">
        <v>41953.991041666668</v>
      </c>
      <c r="C35" s="53" t="s">
        <v>85</v>
      </c>
    </row>
    <row r="36" spans="2:3" s="12" customFormat="1" ht="22.5" customHeight="1" x14ac:dyDescent="0.2">
      <c r="B36" s="57">
        <v>41953.993842592594</v>
      </c>
      <c r="C36" s="53" t="s">
        <v>85</v>
      </c>
    </row>
    <row r="37" spans="2:3" s="12" customFormat="1" ht="22.5" customHeight="1" x14ac:dyDescent="0.2">
      <c r="B37" s="57">
        <v>41953.994537037041</v>
      </c>
      <c r="C37" s="53" t="s">
        <v>85</v>
      </c>
    </row>
    <row r="38" spans="2:3" s="12" customFormat="1" ht="22.5" customHeight="1" x14ac:dyDescent="0.2">
      <c r="B38" s="57">
        <v>41953.99591435185</v>
      </c>
      <c r="C38" s="53" t="s">
        <v>85</v>
      </c>
    </row>
    <row r="39" spans="2:3" s="12" customFormat="1" ht="22.5" customHeight="1" x14ac:dyDescent="0.2">
      <c r="B39" s="57">
        <v>41953.99790509259</v>
      </c>
      <c r="C39" s="53" t="s">
        <v>85</v>
      </c>
    </row>
    <row r="40" spans="2:3" s="12" customFormat="1" ht="22.5" customHeight="1" x14ac:dyDescent="0.2">
      <c r="B40" s="57">
        <v>41953.998611111114</v>
      </c>
      <c r="C40" s="53" t="s">
        <v>85</v>
      </c>
    </row>
    <row r="41" spans="2:3" s="12" customFormat="1" ht="22.5" customHeight="1" x14ac:dyDescent="0.2">
      <c r="B41" s="57">
        <v>41955.145752314813</v>
      </c>
      <c r="C41" s="53" t="s">
        <v>85</v>
      </c>
    </row>
    <row r="42" spans="2:3" s="12" customFormat="1" ht="22.5" customHeight="1" x14ac:dyDescent="0.2">
      <c r="B42" s="57">
        <v>41955.274976851855</v>
      </c>
      <c r="C42" s="53" t="s">
        <v>91</v>
      </c>
    </row>
    <row r="43" spans="2:3" s="12" customFormat="1" ht="22.5" customHeight="1" x14ac:dyDescent="0.2">
      <c r="B43" s="57">
        <v>41955.275659722225</v>
      </c>
      <c r="C43" s="53" t="s">
        <v>91</v>
      </c>
    </row>
    <row r="44" spans="2:3" s="12" customFormat="1" ht="22.5" customHeight="1" x14ac:dyDescent="0.2">
      <c r="B44" s="57">
        <v>41955.276365740741</v>
      </c>
      <c r="C44" s="53" t="s">
        <v>91</v>
      </c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87</v>
      </c>
      <c r="B1" t="s">
        <v>88</v>
      </c>
      <c r="C1" t="s">
        <v>89</v>
      </c>
    </row>
    <row r="2" spans="1:3" x14ac:dyDescent="0.2">
      <c r="A2" s="114">
        <v>15610035</v>
      </c>
      <c r="B2" s="114" t="s">
        <v>14</v>
      </c>
      <c r="C2" s="115" t="s">
        <v>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eMini Template</vt:lpstr>
      <vt:lpstr>Parameter</vt:lpstr>
      <vt:lpstr>EventLog</vt:lpstr>
      <vt:lpstr>Account Details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2014-11-13T08:17:39Z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2553de8355954566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34EC9634-59C5-46CE-B7C1-95F11CC97187}">
  <ds:schemaRefs/>
</ds:datastoreItem>
</file>