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bf77f61f43d94514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8410" yWindow="825" windowWidth="24990" windowHeight="10770"/>
  </bookViews>
  <sheets>
    <sheet name="eMini Template" sheetId="2" r:id="rId1"/>
    <sheet name="Parameter" sheetId="3" r:id="rId2"/>
    <sheet name="EventLog" sheetId="4" r:id="rId3"/>
    <sheet name="Account Details" sheetId="5" r:id="rId4"/>
  </sheets>
  <functionGroups builtInGroupCount="17"/>
  <calcPr calcId="145621"/>
</workbook>
</file>

<file path=xl/calcChain.xml><?xml version="1.0" encoding="utf-8"?>
<calcChain xmlns="http://schemas.openxmlformats.org/spreadsheetml/2006/main">
  <c r="E5" i="2" l="1"/>
  <c r="B4" i="4"/>
  <c r="M20" i="2"/>
  <c r="K20" i="2"/>
  <c r="K22" i="2"/>
  <c r="H13" i="2"/>
  <c r="O17" i="2"/>
  <c r="K12" i="2"/>
  <c r="J21" i="2"/>
  <c r="H22" i="2"/>
  <c r="M21" i="2"/>
  <c r="N18" i="2"/>
  <c r="M22" i="2"/>
  <c r="L18" i="2"/>
  <c r="G20" i="2"/>
  <c r="L12" i="2"/>
  <c r="M18" i="2"/>
  <c r="L16" i="2"/>
  <c r="I20" i="2"/>
  <c r="I15" i="2"/>
  <c r="N15" i="2"/>
  <c r="O21" i="2"/>
  <c r="F21" i="2"/>
  <c r="O16" i="2"/>
  <c r="I22" i="2"/>
  <c r="H20" i="2"/>
  <c r="H17" i="2"/>
  <c r="I17" i="2"/>
  <c r="K15" i="2"/>
  <c r="J18" i="2"/>
  <c r="M16" i="2"/>
  <c r="F16" i="2"/>
  <c r="L20" i="2"/>
  <c r="I10" i="2"/>
  <c r="H12" i="2"/>
  <c r="J15" i="2"/>
  <c r="H15" i="2"/>
  <c r="F17" i="2"/>
  <c r="J13" i="2"/>
  <c r="J17" i="2"/>
  <c r="F10" i="2"/>
  <c r="O18" i="2"/>
  <c r="L21" i="2"/>
  <c r="J16" i="2"/>
  <c r="G21" i="2"/>
  <c r="L13" i="2"/>
  <c r="J12" i="2"/>
  <c r="I21" i="2"/>
  <c r="H21" i="2"/>
  <c r="F22" i="2"/>
  <c r="J20" i="2"/>
  <c r="M12" i="2"/>
  <c r="J22" i="2"/>
  <c r="N20" i="2"/>
  <c r="N12" i="2"/>
  <c r="O12" i="2"/>
  <c r="H16" i="2"/>
  <c r="G13" i="2"/>
  <c r="F15" i="2"/>
  <c r="H18" i="2"/>
  <c r="I13" i="2"/>
  <c r="K13" i="2"/>
  <c r="K18" i="2"/>
  <c r="L15" i="2"/>
  <c r="J10" i="2"/>
  <c r="G17" i="2"/>
  <c r="L17" i="2"/>
  <c r="N22" i="2"/>
  <c r="M10" i="2"/>
  <c r="L10" i="2"/>
  <c r="I12" i="2"/>
  <c r="L22" i="2"/>
  <c r="K10" i="2"/>
  <c r="O22" i="2"/>
  <c r="O10" i="2"/>
  <c r="H10" i="2"/>
  <c r="F18" i="2"/>
  <c r="F12" i="2"/>
  <c r="O20" i="2"/>
  <c r="G18" i="2"/>
  <c r="G16" i="2"/>
  <c r="N16" i="2"/>
  <c r="G22" i="2"/>
  <c r="O15" i="2"/>
  <c r="O13" i="2"/>
  <c r="K16" i="2"/>
  <c r="G12" i="2"/>
  <c r="M17" i="2"/>
  <c r="F13" i="2"/>
  <c r="F20" i="2"/>
  <c r="M15" i="2"/>
  <c r="K21" i="2"/>
  <c r="N13" i="2"/>
  <c r="N21" i="2"/>
  <c r="M13" i="2"/>
  <c r="N17" i="2"/>
  <c r="K17" i="2"/>
  <c r="G15" i="2"/>
  <c r="I16" i="2"/>
  <c r="N10" i="2"/>
  <c r="G10" i="2"/>
  <c r="I18" i="2"/>
  <c r="R21" i="2"/>
  <c r="Q21" i="2"/>
  <c r="Y9" i="2"/>
  <c r="Q17" i="2"/>
  <c r="Y10" i="2"/>
  <c r="Y12" i="2" l="1"/>
  <c r="Y13" i="2"/>
  <c r="R17" i="2"/>
  <c r="Z9" i="2"/>
  <c r="Z12" i="2"/>
  <c r="Z13" i="2"/>
  <c r="Z10" i="2"/>
  <c r="Y8" i="2" l="1"/>
  <c r="R10" i="2"/>
  <c r="Q10" i="2"/>
  <c r="Z8" i="2"/>
</calcChain>
</file>

<file path=xl/sharedStrings.xml><?xml version="1.0" encoding="utf-8"?>
<sst xmlns="http://schemas.openxmlformats.org/spreadsheetml/2006/main" count="144" uniqueCount="92">
  <si>
    <t>No.</t>
  </si>
  <si>
    <t>GArray No.</t>
  </si>
  <si>
    <t>1-3</t>
  </si>
  <si>
    <t>Last Update TIME</t>
  </si>
  <si>
    <t>SmartMoneyIndex</t>
  </si>
  <si>
    <t>RSI</t>
  </si>
  <si>
    <t xml:space="preserve">  </t>
  </si>
  <si>
    <t>NineFive Count</t>
  </si>
  <si>
    <t>NineFive Signal</t>
  </si>
  <si>
    <t>1min</t>
  </si>
  <si>
    <t>SlowStochastics</t>
  </si>
  <si>
    <t>ExBar Signal</t>
  </si>
  <si>
    <t>USM Divergence</t>
  </si>
  <si>
    <t>Value</t>
  </si>
  <si>
    <t>ES</t>
  </si>
  <si>
    <t>Timeframe</t>
  </si>
  <si>
    <t>VIX</t>
  </si>
  <si>
    <t>15min</t>
  </si>
  <si>
    <t>Type / Symbol</t>
  </si>
  <si>
    <t>HACO Oscillator</t>
  </si>
  <si>
    <t>Keltner Oscillator</t>
  </si>
  <si>
    <t>green color index</t>
  </si>
  <si>
    <t>red color index</t>
  </si>
  <si>
    <t>SELL</t>
  </si>
  <si>
    <t>BUY</t>
  </si>
  <si>
    <t>STATUS / ALARM</t>
  </si>
  <si>
    <t>ACTIVE SIGNALS</t>
  </si>
  <si>
    <t>active oversold conditions</t>
  </si>
  <si>
    <t>active buy trigger</t>
  </si>
  <si>
    <t>active overbought conditions</t>
  </si>
  <si>
    <t>active sell trigger</t>
  </si>
  <si>
    <t xml:space="preserve">                                           </t>
  </si>
  <si>
    <t>MASTER ALARM</t>
  </si>
  <si>
    <t>LONG</t>
  </si>
  <si>
    <t>SHORT</t>
  </si>
  <si>
    <t>MASTER ALARM SETUP</t>
  </si>
  <si>
    <t>LONG MASTER ALARM - RULES</t>
  </si>
  <si>
    <t>1. minimum required</t>
  </si>
  <si>
    <t>OverSold</t>
  </si>
  <si>
    <t>OverBought</t>
  </si>
  <si>
    <t>SHORT MASTER ALARM - RULES</t>
  </si>
  <si>
    <t xml:space="preserve">   </t>
  </si>
  <si>
    <t>Alarm soundfile</t>
  </si>
  <si>
    <t>chimes</t>
  </si>
  <si>
    <t>Index for conditional cell couting</t>
  </si>
  <si>
    <t>max. allowed</t>
  </si>
  <si>
    <t>2. max. allowed</t>
  </si>
  <si>
    <t>Long Alarm Cell</t>
  </si>
  <si>
    <t>Short Alarm Cell</t>
  </si>
  <si>
    <r>
      <t xml:space="preserve">Alarm cells with rules </t>
    </r>
    <r>
      <rPr>
        <sz val="10"/>
        <rFont val="Arial"/>
        <family val="2"/>
      </rPr>
      <t>(to play soundfile)</t>
    </r>
  </si>
  <si>
    <t>Date &amp; Time</t>
  </si>
  <si>
    <t>Event</t>
  </si>
  <si>
    <t>No of. entries</t>
  </si>
  <si>
    <t>Master Alarm    -     Event Log</t>
  </si>
  <si>
    <t>Write Alarms to Event Log</t>
  </si>
  <si>
    <t>on</t>
  </si>
  <si>
    <t>Status (on / off)</t>
  </si>
  <si>
    <t>REALTIME</t>
  </si>
  <si>
    <t>4D Trading Desk / (C) whentotrade.com</t>
  </si>
  <si>
    <t>C</t>
  </si>
  <si>
    <t>TI</t>
  </si>
  <si>
    <t>TR</t>
  </si>
  <si>
    <t>2min</t>
  </si>
  <si>
    <t>3min</t>
  </si>
  <si>
    <t>5min</t>
  </si>
  <si>
    <t>9min</t>
  </si>
  <si>
    <t>27min</t>
  </si>
  <si>
    <t>81min</t>
  </si>
  <si>
    <t>135min</t>
  </si>
  <si>
    <t>4D COMPOSITE CALCULATION
PUSHBACK AREA</t>
  </si>
  <si>
    <t>Q10</t>
  </si>
  <si>
    <t>R10</t>
  </si>
  <si>
    <t>Trend Fast</t>
  </si>
  <si>
    <t>OSOB Combined Full</t>
  </si>
  <si>
    <t>OSOB Combined Fast</t>
  </si>
  <si>
    <t>Trend Slow</t>
  </si>
  <si>
    <t>MTF Composite Indicator</t>
  </si>
  <si>
    <t>PushBack ID</t>
  </si>
  <si>
    <t>Info</t>
  </si>
  <si>
    <t>All Timeframes</t>
  </si>
  <si>
    <t>1 &amp; 3 Minutes</t>
  </si>
  <si>
    <t>1-5 Minutes</t>
  </si>
  <si>
    <t>1 - 9 Minutes</t>
  </si>
  <si>
    <t>15 - 135 Minutes</t>
  </si>
  <si>
    <t>OSOB Combined Ultra</t>
  </si>
  <si>
    <t>SHORT Master Alarm</t>
  </si>
  <si>
    <t>SHORT Master Alarm OFF</t>
  </si>
  <si>
    <t>Account Name</t>
  </si>
  <si>
    <t>Product Name</t>
  </si>
  <si>
    <t>Instrument Name</t>
  </si>
  <si>
    <t>Dec14</t>
  </si>
  <si>
    <t>LONG Master Alarm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</si>
</sst>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8"/>
      <color indexed="55"/>
      <name val="Arial"/>
      <family val="2"/>
    </font>
    <font>
      <b/>
      <sz val="12"/>
      <color indexed="55"/>
      <name val="Arial"/>
      <family val="2"/>
    </font>
    <font>
      <b/>
      <sz val="8"/>
      <color indexed="17"/>
      <name val="Arial"/>
      <family val="2"/>
    </font>
    <font>
      <b/>
      <sz val="8"/>
      <color indexed="10"/>
      <name val="Arial"/>
      <family val="2"/>
    </font>
    <font>
      <sz val="10.5"/>
      <name val="Consolas"/>
      <family val="3"/>
    </font>
    <font>
      <sz val="9"/>
      <name val="Arial"/>
      <family val="2"/>
    </font>
    <font>
      <b/>
      <sz val="9"/>
      <name val="Arial"/>
      <family val="2"/>
    </font>
    <font>
      <sz val="8"/>
      <color theme="0"/>
      <name val="Arial"/>
      <family val="2"/>
    </font>
    <font>
      <sz val="9"/>
      <color theme="0" tint="-0.14999847407452621"/>
      <name val="Arial"/>
      <family val="2"/>
    </font>
    <font>
      <b/>
      <sz val="9"/>
      <color rgb="FFFF0000"/>
      <name val="Arial"/>
      <family val="2"/>
    </font>
    <font>
      <b/>
      <sz val="12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43">
    <xf numFmtId="0" fontId="0" fillId="0" borderId="0" xfId="0"/>
    <xf numFmtId="0" fontId="0" fillId="0" borderId="0" xfId="0" applyBorder="1"/>
    <xf numFmtId="0" fontId="0" fillId="0" borderId="0" xfId="0" applyNumberFormat="1" applyAlignment="1">
      <alignment vertical="center"/>
    </xf>
    <xf numFmtId="0" fontId="5" fillId="0" borderId="0" xfId="0" applyFont="1"/>
    <xf numFmtId="0" fontId="0" fillId="0" borderId="0" xfId="0" applyNumberForma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6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6" fontId="7" fillId="0" borderId="0" xfId="0" quotePrefix="1" applyNumberFormat="1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0" xfId="0" applyFont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vertical="center" textRotation="90"/>
    </xf>
    <xf numFmtId="0" fontId="12" fillId="0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3" xfId="0" applyFont="1" applyBorder="1"/>
    <xf numFmtId="0" fontId="0" fillId="0" borderId="2" xfId="0" applyBorder="1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0" xfId="0" applyBorder="1" applyAlignment="1">
      <alignment horizontal="center"/>
    </xf>
    <xf numFmtId="0" fontId="1" fillId="0" borderId="4" xfId="0" applyFont="1" applyBorder="1"/>
    <xf numFmtId="0" fontId="0" fillId="0" borderId="6" xfId="0" applyBorder="1"/>
    <xf numFmtId="0" fontId="4" fillId="0" borderId="0" xfId="0" applyFont="1" applyBorder="1"/>
    <xf numFmtId="0" fontId="1" fillId="0" borderId="0" xfId="0" applyFont="1" applyBorder="1"/>
    <xf numFmtId="0" fontId="4" fillId="0" borderId="2" xfId="0" applyFont="1" applyFill="1" applyBorder="1"/>
    <xf numFmtId="0" fontId="4" fillId="0" borderId="3" xfId="0" applyFont="1" applyFill="1" applyBorder="1"/>
    <xf numFmtId="0" fontId="0" fillId="0" borderId="0" xfId="0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0" borderId="3" xfId="0" applyBorder="1"/>
    <xf numFmtId="0" fontId="1" fillId="0" borderId="9" xfId="0" applyFont="1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3" fillId="0" borderId="0" xfId="0" applyFont="1"/>
    <xf numFmtId="22" fontId="0" fillId="0" borderId="0" xfId="0" applyNumberFormat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/>
    </xf>
    <xf numFmtId="0" fontId="1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22" fontId="0" fillId="0" borderId="1" xfId="0" applyNumberFormat="1" applyBorder="1" applyAlignment="1">
      <alignment horizontal="left" vertical="center"/>
    </xf>
    <xf numFmtId="0" fontId="3" fillId="0" borderId="2" xfId="0" applyFont="1" applyBorder="1"/>
    <xf numFmtId="0" fontId="3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center" vertical="center"/>
    </xf>
    <xf numFmtId="16" fontId="17" fillId="0" borderId="0" xfId="0" quotePrefix="1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" fillId="0" borderId="0" xfId="1" applyNumberFormat="1" applyFont="1" applyBorder="1" applyAlignment="1">
      <alignment vertical="center"/>
    </xf>
    <xf numFmtId="0" fontId="1" fillId="0" borderId="12" xfId="1" applyNumberFormat="1" applyFont="1" applyBorder="1" applyAlignment="1">
      <alignment vertical="center"/>
    </xf>
    <xf numFmtId="0" fontId="9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19" fontId="9" fillId="2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9" fontId="9" fillId="2" borderId="0" xfId="0" applyNumberFormat="1" applyFont="1" applyFill="1" applyAlignment="1">
      <alignment horizontal="right" vertical="center"/>
    </xf>
    <xf numFmtId="19" fontId="9" fillId="2" borderId="0" xfId="0" applyNumberFormat="1" applyFont="1" applyFill="1" applyAlignment="1">
      <alignment vertical="center"/>
    </xf>
    <xf numFmtId="19" fontId="9" fillId="2" borderId="0" xfId="0" applyNumberFormat="1" applyFont="1" applyFill="1" applyAlignment="1">
      <alignment horizontal="left" vertical="center"/>
    </xf>
    <xf numFmtId="0" fontId="19" fillId="0" borderId="0" xfId="0" applyFont="1"/>
    <xf numFmtId="0" fontId="3" fillId="0" borderId="0" xfId="0" quotePrefix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/>
    <xf numFmtId="0" fontId="1" fillId="0" borderId="0" xfId="1" applyNumberFormat="1" applyFont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Border="1" applyAlignment="1">
      <alignment horizontal="center" vertical="center"/>
    </xf>
    <xf numFmtId="0" fontId="1" fillId="0" borderId="13" xfId="0" applyNumberFormat="1" applyFont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13" xfId="0" applyNumberFormat="1" applyFont="1" applyBorder="1" applyAlignment="1"/>
    <xf numFmtId="0" fontId="3" fillId="0" borderId="12" xfId="0" applyFont="1" applyBorder="1" applyAlignment="1"/>
    <xf numFmtId="0" fontId="3" fillId="0" borderId="0" xfId="0" applyFont="1" applyBorder="1" applyAlignment="1"/>
    <xf numFmtId="0" fontId="3" fillId="0" borderId="14" xfId="0" applyFont="1" applyBorder="1" applyAlignment="1"/>
    <xf numFmtId="0" fontId="3" fillId="0" borderId="2" xfId="0" applyFont="1" applyBorder="1" applyAlignment="1"/>
    <xf numFmtId="0" fontId="3" fillId="0" borderId="2" xfId="1" quotePrefix="1" applyNumberFormat="1" applyFont="1" applyBorder="1" applyAlignment="1">
      <alignment horizontal="center"/>
    </xf>
    <xf numFmtId="0" fontId="3" fillId="0" borderId="15" xfId="0" applyNumberFormat="1" applyFont="1" applyFill="1" applyBorder="1" applyAlignment="1"/>
    <xf numFmtId="0" fontId="3" fillId="0" borderId="14" xfId="0" applyNumberFormat="1" applyFont="1" applyBorder="1" applyAlignment="1"/>
    <xf numFmtId="0" fontId="3" fillId="0" borderId="2" xfId="0" applyNumberFormat="1" applyFont="1" applyBorder="1" applyAlignment="1"/>
    <xf numFmtId="0" fontId="3" fillId="0" borderId="2" xfId="0" applyNumberFormat="1" applyFont="1" applyBorder="1" applyAlignment="1">
      <alignment horizontal="center"/>
    </xf>
    <xf numFmtId="0" fontId="3" fillId="0" borderId="15" xfId="0" applyNumberFormat="1" applyFont="1" applyBorder="1" applyAlignment="1"/>
    <xf numFmtId="0" fontId="3" fillId="0" borderId="12" xfId="1" applyNumberFormat="1" applyFont="1" applyFill="1" applyBorder="1" applyAlignment="1"/>
    <xf numFmtId="0" fontId="3" fillId="0" borderId="0" xfId="1" applyNumberFormat="1" applyFont="1" applyFill="1" applyBorder="1" applyAlignment="1"/>
    <xf numFmtId="0" fontId="3" fillId="0" borderId="0" xfId="1" applyNumberFormat="1" applyFont="1" applyFill="1" applyBorder="1" applyAlignment="1">
      <alignment horizontal="center"/>
    </xf>
    <xf numFmtId="0" fontId="3" fillId="0" borderId="0" xfId="1" quotePrefix="1" applyNumberFormat="1" applyFont="1" applyFill="1" applyBorder="1" applyAlignment="1">
      <alignment horizontal="center"/>
    </xf>
    <xf numFmtId="0" fontId="3" fillId="0" borderId="13" xfId="0" applyFont="1" applyFill="1" applyBorder="1" applyAlignment="1"/>
    <xf numFmtId="0" fontId="3" fillId="0" borderId="13" xfId="0" applyNumberFormat="1" applyFont="1" applyFill="1" applyBorder="1" applyAlignment="1"/>
    <xf numFmtId="0" fontId="3" fillId="0" borderId="12" xfId="0" applyNumberFormat="1" applyFont="1" applyFill="1" applyBorder="1" applyAlignment="1"/>
    <xf numFmtId="0" fontId="3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49" fontId="0" fillId="0" borderId="0" xfId="0" applyNumberFormat="1"/>
    <xf numFmtId="49" fontId="3" fillId="0" borderId="0" xfId="0" applyNumberFormat="1" applyFont="1"/>
    <xf numFmtId="0" fontId="8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6" borderId="16" xfId="0" applyNumberFormat="1" applyFont="1" applyFill="1" applyBorder="1" applyAlignment="1">
      <alignment horizontal="center" vertical="center" wrapText="1"/>
    </xf>
    <xf numFmtId="0" fontId="1" fillId="6" borderId="17" xfId="0" applyNumberFormat="1" applyFont="1" applyFill="1" applyBorder="1" applyAlignment="1">
      <alignment horizontal="center" vertical="center" wrapText="1"/>
    </xf>
    <xf numFmtId="0" fontId="1" fillId="6" borderId="18" xfId="0" applyNumberFormat="1" applyFont="1" applyFill="1" applyBorder="1" applyAlignment="1">
      <alignment horizontal="center" vertical="center" wrapText="1"/>
    </xf>
    <xf numFmtId="0" fontId="1" fillId="6" borderId="12" xfId="0" applyNumberFormat="1" applyFont="1" applyFill="1" applyBorder="1" applyAlignment="1">
      <alignment horizontal="center" vertical="center" wrapText="1"/>
    </xf>
    <xf numFmtId="0" fontId="1" fillId="6" borderId="0" xfId="0" applyNumberFormat="1" applyFont="1" applyFill="1" applyBorder="1" applyAlignment="1">
      <alignment horizontal="center" vertical="center" wrapText="1"/>
    </xf>
    <xf numFmtId="0" fontId="1" fillId="6" borderId="13" xfId="0" applyNumberFormat="1" applyFont="1" applyFill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center" vertical="center"/>
    </xf>
    <xf numFmtId="1" fontId="11" fillId="0" borderId="19" xfId="0" applyNumberFormat="1" applyFont="1" applyBorder="1" applyAlignment="1">
      <alignment horizontal="center" vertical="center"/>
    </xf>
    <xf numFmtId="1" fontId="11" fillId="0" borderId="20" xfId="0" applyNumberFormat="1" applyFont="1" applyBorder="1" applyAlignment="1">
      <alignment horizontal="center" vertical="center"/>
    </xf>
    <xf numFmtId="1" fontId="11" fillId="0" borderId="21" xfId="0" applyNumberFormat="1" applyFont="1" applyBorder="1" applyAlignment="1">
      <alignment horizontal="center" vertical="center"/>
    </xf>
    <xf numFmtId="0" fontId="11" fillId="0" borderId="19" xfId="0" applyNumberFormat="1" applyFont="1" applyBorder="1" applyAlignment="1">
      <alignment horizontal="center" vertical="center"/>
    </xf>
    <xf numFmtId="0" fontId="11" fillId="0" borderId="20" xfId="0" applyNumberFormat="1" applyFont="1" applyBorder="1" applyAlignment="1">
      <alignment horizontal="center" vertical="center"/>
    </xf>
    <xf numFmtId="0" fontId="11" fillId="0" borderId="2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 textRotation="90"/>
    </xf>
    <xf numFmtId="0" fontId="5" fillId="3" borderId="0" xfId="0" applyFont="1" applyFill="1" applyAlignment="1">
      <alignment horizontal="center" vertical="center"/>
    </xf>
    <xf numFmtId="0" fontId="1" fillId="7" borderId="9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</cellXfs>
  <cellStyles count="2">
    <cellStyle name="Normal" xfId="0" builtinId="0"/>
    <cellStyle name="Normal 3" xfId="1"/>
  </cellStyles>
  <dxfs count="1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garrayrtd.w59">
      <tp t="e">
        <v>#N/A</v>
        <stp/>
        <stp>a.51.5</stp>
        <tr r="I13" s="2"/>
      </tp>
      <tp t="e">
        <v>#N/A</v>
        <stp/>
        <stp>a.51.4</stp>
        <tr r="I12" s="2"/>
      </tp>
      <tp t="e">
        <v>#N/A</v>
        <stp/>
        <stp>a.51.7</stp>
        <tr r="I16" s="2"/>
      </tp>
      <tp t="e">
        <v>#N/A</v>
        <stp/>
        <stp>a.51.6</stp>
        <tr r="I15" s="2"/>
      </tp>
      <tp t="e">
        <v>#N/A</v>
        <stp/>
        <stp>a.51.1</stp>
        <tr r="I10" s="2"/>
      </tp>
      <tp t="e">
        <v>#N/A</v>
        <stp/>
        <stp>a.51.3</stp>
        <tr r="I10" s="2"/>
      </tp>
      <tp t="e">
        <v>#N/A</v>
        <stp/>
        <stp>a.51.2</stp>
        <tr r="I10" s="2"/>
      </tp>
      <tp t="e">
        <v>#N/A</v>
        <stp/>
        <stp>a.51.9</stp>
        <tr r="I18" s="2"/>
      </tp>
      <tp t="e">
        <v>#N/A</v>
        <stp/>
        <stp>a.51.8</stp>
        <tr r="I17" s="2"/>
      </tp>
      <tp t="e">
        <v>#N/A</v>
        <stp/>
        <stp>a.50.5</stp>
        <tr r="H13" s="2"/>
      </tp>
      <tp t="e">
        <v>#N/A</v>
        <stp/>
        <stp>a.50.4</stp>
        <tr r="H12" s="2"/>
      </tp>
      <tp t="e">
        <v>#N/A</v>
        <stp/>
        <stp>a.50.7</stp>
        <tr r="H16" s="2"/>
      </tp>
      <tp t="e">
        <v>#N/A</v>
        <stp/>
        <stp>a.50.6</stp>
        <tr r="H15" s="2"/>
      </tp>
      <tp t="e">
        <v>#N/A</v>
        <stp/>
        <stp>a.50.1</stp>
        <tr r="H10" s="2"/>
      </tp>
      <tp t="e">
        <v>#N/A</v>
        <stp/>
        <stp>a.50.3</stp>
        <tr r="H10" s="2"/>
      </tp>
      <tp t="e">
        <v>#N/A</v>
        <stp/>
        <stp>a.50.2</stp>
        <tr r="H10" s="2"/>
      </tp>
      <tp t="e">
        <v>#N/A</v>
        <stp/>
        <stp>a.50.9</stp>
        <tr r="H18" s="2"/>
      </tp>
      <tp t="e">
        <v>#N/A</v>
        <stp/>
        <stp>a.50.8</stp>
        <tr r="H17" s="2"/>
      </tp>
      <tp t="e">
        <v>#N/A</v>
        <stp/>
        <stp>a.53.5</stp>
        <tr r="K13" s="2"/>
      </tp>
      <tp t="e">
        <v>#N/A</v>
        <stp/>
        <stp>a.53.4</stp>
        <tr r="K12" s="2"/>
      </tp>
      <tp t="e">
        <v>#N/A</v>
        <stp/>
        <stp>a.53.7</stp>
        <tr r="K16" s="2"/>
      </tp>
      <tp t="e">
        <v>#N/A</v>
        <stp/>
        <stp>a.53.6</stp>
        <tr r="K15" s="2"/>
      </tp>
      <tp t="e">
        <v>#N/A</v>
        <stp/>
        <stp>a.53.1</stp>
        <tr r="K10" s="2"/>
      </tp>
      <tp t="e">
        <v>#N/A</v>
        <stp/>
        <stp>a.53.3</stp>
        <tr r="K10" s="2"/>
      </tp>
      <tp t="e">
        <v>#N/A</v>
        <stp/>
        <stp>a.53.2</stp>
        <tr r="K10" s="2"/>
      </tp>
      <tp t="e">
        <v>#N/A</v>
        <stp/>
        <stp>a.53.9</stp>
        <tr r="K18" s="2"/>
      </tp>
      <tp t="e">
        <v>#N/A</v>
        <stp/>
        <stp>a.53.8</stp>
        <tr r="K17" s="2"/>
      </tp>
      <tp t="e">
        <v>#N/A</v>
        <stp/>
        <stp>a.52.5</stp>
        <tr r="J13" s="2"/>
      </tp>
      <tp t="e">
        <v>#N/A</v>
        <stp/>
        <stp>a.52.4</stp>
        <tr r="J12" s="2"/>
      </tp>
      <tp t="e">
        <v>#N/A</v>
        <stp/>
        <stp>a.52.7</stp>
        <tr r="J16" s="2"/>
      </tp>
      <tp t="e">
        <v>#N/A</v>
        <stp/>
        <stp>a.52.6</stp>
        <tr r="J15" s="2"/>
      </tp>
      <tp t="e">
        <v>#N/A</v>
        <stp/>
        <stp>a.52.1</stp>
        <tr r="J10" s="2"/>
      </tp>
      <tp t="e">
        <v>#N/A</v>
        <stp/>
        <stp>a.52.3</stp>
        <tr r="J10" s="2"/>
      </tp>
      <tp t="e">
        <v>#N/A</v>
        <stp/>
        <stp>a.52.2</stp>
        <tr r="J10" s="2"/>
      </tp>
      <tp t="e">
        <v>#N/A</v>
        <stp/>
        <stp>a.52.9</stp>
        <tr r="J18" s="2"/>
      </tp>
      <tp t="e">
        <v>#N/A</v>
        <stp/>
        <stp>a.52.8</stp>
        <tr r="J17" s="2"/>
      </tp>
      <tp t="e">
        <v>#N/A</v>
        <stp/>
        <stp>a.55.5</stp>
        <tr r="M13" s="2"/>
      </tp>
      <tp t="e">
        <v>#N/A</v>
        <stp/>
        <stp>a.55.4</stp>
        <tr r="M12" s="2"/>
      </tp>
      <tp t="e">
        <v>#N/A</v>
        <stp/>
        <stp>a.55.7</stp>
        <tr r="M16" s="2"/>
      </tp>
      <tp t="e">
        <v>#N/A</v>
        <stp/>
        <stp>a.55.6</stp>
        <tr r="M15" s="2"/>
      </tp>
      <tp t="e">
        <v>#N/A</v>
        <stp/>
        <stp>a.55.1</stp>
        <tr r="M10" s="2"/>
      </tp>
      <tp t="e">
        <v>#N/A</v>
        <stp/>
        <stp>a.55.3</stp>
        <tr r="M10" s="2"/>
      </tp>
      <tp t="e">
        <v>#N/A</v>
        <stp/>
        <stp>a.55.2</stp>
        <tr r="M10" s="2"/>
      </tp>
      <tp t="e">
        <v>#N/A</v>
        <stp/>
        <stp>a.55.9</stp>
        <tr r="M18" s="2"/>
      </tp>
      <tp t="e">
        <v>#N/A</v>
        <stp/>
        <stp>a.55.8</stp>
        <tr r="M17" s="2"/>
      </tp>
      <tp t="e">
        <v>#N/A</v>
        <stp/>
        <stp>a.54.5</stp>
        <tr r="L13" s="2"/>
      </tp>
      <tp t="e">
        <v>#N/A</v>
        <stp/>
        <stp>a.54.4</stp>
        <tr r="L12" s="2"/>
      </tp>
      <tp t="e">
        <v>#N/A</v>
        <stp/>
        <stp>a.54.7</stp>
        <tr r="L16" s="2"/>
      </tp>
      <tp t="e">
        <v>#N/A</v>
        <stp/>
        <stp>a.54.6</stp>
        <tr r="L15" s="2"/>
      </tp>
      <tp t="e">
        <v>#N/A</v>
        <stp/>
        <stp>a.54.1</stp>
        <tr r="L10" s="2"/>
      </tp>
      <tp t="e">
        <v>#N/A</v>
        <stp/>
        <stp>a.54.3</stp>
        <tr r="L10" s="2"/>
      </tp>
      <tp t="e">
        <v>#N/A</v>
        <stp/>
        <stp>a.54.2</stp>
        <tr r="L10" s="2"/>
      </tp>
      <tp t="e">
        <v>#N/A</v>
        <stp/>
        <stp>a.54.9</stp>
        <tr r="L18" s="2"/>
      </tp>
      <tp t="e">
        <v>#N/A</v>
        <stp/>
        <stp>a.54.8</stp>
        <tr r="L17" s="2"/>
      </tp>
      <tp t="e">
        <v>#N/A</v>
        <stp/>
        <stp>a.57.5</stp>
        <tr r="O13" s="2"/>
      </tp>
      <tp t="e">
        <v>#N/A</v>
        <stp/>
        <stp>a.57.4</stp>
        <tr r="O12" s="2"/>
      </tp>
      <tp t="e">
        <v>#N/A</v>
        <stp/>
        <stp>a.57.7</stp>
        <tr r="O16" s="2"/>
      </tp>
      <tp t="e">
        <v>#N/A</v>
        <stp/>
        <stp>a.57.6</stp>
        <tr r="O15" s="2"/>
      </tp>
      <tp t="e">
        <v>#N/A</v>
        <stp/>
        <stp>a.57.1</stp>
        <tr r="O10" s="2"/>
      </tp>
      <tp t="e">
        <v>#N/A</v>
        <stp/>
        <stp>a.57.3</stp>
        <tr r="O10" s="2"/>
      </tp>
      <tp t="e">
        <v>#N/A</v>
        <stp/>
        <stp>a.57.2</stp>
        <tr r="O10" s="2"/>
      </tp>
      <tp t="e">
        <v>#N/A</v>
        <stp/>
        <stp>a.57.9</stp>
        <tr r="O18" s="2"/>
      </tp>
      <tp t="e">
        <v>#N/A</v>
        <stp/>
        <stp>a.57.8</stp>
        <tr r="O17" s="2"/>
      </tp>
      <tp t="e">
        <v>#N/A</v>
        <stp/>
        <stp>a.56.5</stp>
        <tr r="N13" s="2"/>
      </tp>
      <tp t="e">
        <v>#N/A</v>
        <stp/>
        <stp>a.56.4</stp>
        <tr r="N12" s="2"/>
      </tp>
      <tp t="e">
        <v>#N/A</v>
        <stp/>
        <stp>a.56.7</stp>
        <tr r="N16" s="2"/>
      </tp>
      <tp t="e">
        <v>#N/A</v>
        <stp/>
        <stp>a.56.6</stp>
        <tr r="N15" s="2"/>
      </tp>
      <tp t="e">
        <v>#N/A</v>
        <stp/>
        <stp>a.56.1</stp>
        <tr r="N10" s="2"/>
      </tp>
      <tp t="e">
        <v>#N/A</v>
        <stp/>
        <stp>a.56.3</stp>
        <tr r="N10" s="2"/>
      </tp>
      <tp t="e">
        <v>#N/A</v>
        <stp/>
        <stp>a.56.2</stp>
        <tr r="N10" s="2"/>
      </tp>
      <tp t="e">
        <v>#N/A</v>
        <stp/>
        <stp>a.56.9</stp>
        <tr r="N18" s="2"/>
      </tp>
      <tp t="e">
        <v>#N/A</v>
        <stp/>
        <stp>a.56.8</stp>
        <tr r="N17" s="2"/>
      </tp>
      <tp t="e">
        <v>#N/A</v>
        <stp/>
        <stp>a.49.5</stp>
        <tr r="G13" s="2"/>
      </tp>
      <tp t="e">
        <v>#N/A</v>
        <stp/>
        <stp>a.49.4</stp>
        <tr r="G12" s="2"/>
      </tp>
      <tp t="e">
        <v>#N/A</v>
        <stp/>
        <stp>a.49.7</stp>
        <tr r="G16" s="2"/>
      </tp>
      <tp t="e">
        <v>#N/A</v>
        <stp/>
        <stp>a.49.6</stp>
        <tr r="G15" s="2"/>
      </tp>
      <tp t="e">
        <v>#N/A</v>
        <stp/>
        <stp>a.49.1</stp>
        <tr r="G10" s="2"/>
      </tp>
      <tp t="e">
        <v>#N/A</v>
        <stp/>
        <stp>a.49.3</stp>
        <tr r="G10" s="2"/>
      </tp>
      <tp t="e">
        <v>#N/A</v>
        <stp/>
        <stp>a.49.2</stp>
        <tr r="G10" s="2"/>
      </tp>
      <tp t="e">
        <v>#N/A</v>
        <stp/>
        <stp>a.49.9</stp>
        <tr r="G18" s="2"/>
      </tp>
      <tp t="e">
        <v>#N/A</v>
        <stp/>
        <stp>a.49.8</stp>
        <tr r="G17" s="2"/>
      </tp>
      <tp t="e">
        <v>#N/A</v>
        <stp/>
        <stp>a.48.5</stp>
        <tr r="F13" s="2"/>
      </tp>
      <tp t="e">
        <v>#N/A</v>
        <stp/>
        <stp>a.48.4</stp>
        <tr r="F12" s="2"/>
      </tp>
      <tp t="e">
        <v>#N/A</v>
        <stp/>
        <stp>a.48.7</stp>
        <tr r="F16" s="2"/>
      </tp>
      <tp t="e">
        <v>#N/A</v>
        <stp/>
        <stp>a.48.6</stp>
        <tr r="F15" s="2"/>
      </tp>
      <tp t="e">
        <v>#N/A</v>
        <stp/>
        <stp>a.48.1</stp>
        <tr r="F10" s="2"/>
      </tp>
      <tp t="e">
        <v>#N/A</v>
        <stp/>
        <stp>a.48.3</stp>
        <tr r="F10" s="2"/>
      </tp>
      <tp t="e">
        <v>#N/A</v>
        <stp/>
        <stp>a.48.2</stp>
        <tr r="F10" s="2"/>
      </tp>
      <tp t="e">
        <v>#N/A</v>
        <stp/>
        <stp>a.48.9</stp>
        <tr r="F18" s="2"/>
      </tp>
      <tp t="e">
        <v>#N/A</v>
        <stp/>
        <stp>a.48.8</stp>
        <tr r="F17" s="2"/>
      </tp>
      <tp t="e">
        <v>#N/A</v>
        <stp/>
        <stp>a.48.12</stp>
        <tr r="F22" s="2"/>
      </tp>
      <tp t="e">
        <v>#N/A</v>
        <stp/>
        <stp>a.49.12</stp>
        <tr r="G22" s="2"/>
      </tp>
      <tp t="e">
        <v>#N/A</v>
        <stp/>
        <stp>a.50.12</stp>
        <tr r="H22" s="2"/>
      </tp>
      <tp t="e">
        <v>#N/A</v>
        <stp/>
        <stp>a.51.12</stp>
        <tr r="I22" s="2"/>
      </tp>
      <tp t="e">
        <v>#N/A</v>
        <stp/>
        <stp>a.52.12</stp>
        <tr r="J22" s="2"/>
      </tp>
      <tp t="e">
        <v>#N/A</v>
        <stp/>
        <stp>a.53.12</stp>
        <tr r="K22" s="2"/>
      </tp>
      <tp t="e">
        <v>#N/A</v>
        <stp/>
        <stp>a.54.12</stp>
        <tr r="L22" s="2"/>
      </tp>
      <tp t="e">
        <v>#N/A</v>
        <stp/>
        <stp>a.55.12</stp>
        <tr r="M22" s="2"/>
      </tp>
      <tp t="e">
        <v>#N/A</v>
        <stp/>
        <stp>a.56.12</stp>
        <tr r="N22" s="2"/>
      </tp>
      <tp t="e">
        <v>#N/A</v>
        <stp/>
        <stp>a.57.12</stp>
        <tr r="O22" s="2"/>
      </tp>
      <tp t="e">
        <v>#N/A</v>
        <stp/>
        <stp>a.50.11</stp>
        <tr r="H21" s="2"/>
      </tp>
      <tp t="e">
        <v>#N/A</v>
        <stp/>
        <stp>a.51.11</stp>
        <tr r="I21" s="2"/>
      </tp>
      <tp t="e">
        <v>#N/A</v>
        <stp/>
        <stp>a.52.11</stp>
        <tr r="J21" s="2"/>
      </tp>
      <tp t="e">
        <v>#N/A</v>
        <stp/>
        <stp>a.53.11</stp>
        <tr r="K21" s="2"/>
      </tp>
      <tp t="e">
        <v>#N/A</v>
        <stp/>
        <stp>a.54.11</stp>
        <tr r="L21" s="2"/>
      </tp>
      <tp t="e">
        <v>#N/A</v>
        <stp/>
        <stp>a.55.11</stp>
        <tr r="M21" s="2"/>
      </tp>
      <tp t="e">
        <v>#N/A</v>
        <stp/>
        <stp>a.56.11</stp>
        <tr r="N21" s="2"/>
      </tp>
      <tp t="e">
        <v>#N/A</v>
        <stp/>
        <stp>a.57.11</stp>
        <tr r="O21" s="2"/>
      </tp>
      <tp t="e">
        <v>#N/A</v>
        <stp/>
        <stp>a.48.10</stp>
        <tr r="F20" s="2"/>
      </tp>
      <tp t="e">
        <v>#N/A</v>
        <stp/>
        <stp>a.49.10</stp>
        <tr r="G20" s="2"/>
      </tp>
      <tp t="e">
        <v>#N/A</v>
        <stp/>
        <stp>a.50.10</stp>
        <tr r="H20" s="2"/>
      </tp>
      <tp t="e">
        <v>#N/A</v>
        <stp/>
        <stp>a.51.10</stp>
        <tr r="I20" s="2"/>
      </tp>
      <tp t="e">
        <v>#N/A</v>
        <stp/>
        <stp>a.52.10</stp>
        <tr r="J20" s="2"/>
      </tp>
      <tp t="e">
        <v>#N/A</v>
        <stp/>
        <stp>a.53.10</stp>
        <tr r="K20" s="2"/>
      </tp>
      <tp t="e">
        <v>#N/A</v>
        <stp/>
        <stp>a.54.10</stp>
        <tr r="L20" s="2"/>
      </tp>
      <tp t="e">
        <v>#N/A</v>
        <stp/>
        <stp>a.55.10</stp>
        <tr r="M20" s="2"/>
      </tp>
      <tp t="e">
        <v>#N/A</v>
        <stp/>
        <stp>a.56.10</stp>
        <tr r="N20" s="2"/>
      </tp>
      <tp t="e">
        <v>#N/A</v>
        <stp/>
        <stp>a.57.10</stp>
        <tr r="O20" s="2"/>
      </tp>
      <tp t="e">
        <v>#N/A</v>
        <stp/>
        <stp>a.48.11</stp>
        <tr r="F21" s="2"/>
      </tp>
      <tp t="e">
        <v>#N/A</v>
        <stp/>
        <stp>a.49.11</stp>
        <tr r="G21" s="2"/>
      </tp>
    </main>
  </volType>
</volTypes>
</file>

<file path=xl/_rels/workbook.xml.rels>&#65279;<?xml version="1.0" encoding="utf-8"?><Relationships xmlns="http://schemas.openxmlformats.org/package/2006/relationships"><Relationship Type="http://schemas.openxmlformats.org/officeDocument/2006/relationships/calcChain" Target="calcChain.xml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microsoft.com/office/2006/relationships/vbaProject" Target="vbaProject.bin" Id="rId10" /><Relationship Type="http://schemas.openxmlformats.org/officeDocument/2006/relationships/worksheet" Target="worksheets/sheet4.xml" Id="rId4" /><Relationship Type="http://schemas.openxmlformats.org/officeDocument/2006/relationships/volatileDependencies" Target="volatileDependencies.xml" Id="rId9" /><Relationship Type="http://schemas.openxmlformats.org/officeDocument/2006/relationships/customXml" Target="../vstoDataStore/item1.xml" Id="R508c057fd51d4551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A34"/>
  <sheetViews>
    <sheetView showGridLines="0" tabSelected="1" zoomScale="88" zoomScaleNormal="88" workbookViewId="0"/>
  </sheetViews>
  <sheetFormatPr defaultColWidth="11.42578125" defaultRowHeight="12.75" x14ac:dyDescent="0.2"/>
  <cols>
    <col min="1" max="2" width="1.42578125" customWidth="1"/>
    <col min="3" max="3" width="2.42578125" customWidth="1"/>
    <col min="4" max="4" width="5.28515625" customWidth="1"/>
    <col min="5" max="5" width="18.28515625" customWidth="1"/>
    <col min="6" max="15" width="8.5703125" style="70" customWidth="1"/>
    <col min="16" max="16" width="1.28515625" customWidth="1"/>
    <col min="17" max="18" width="11.85546875" customWidth="1"/>
    <col min="19" max="19" width="1.28515625" customWidth="1"/>
    <col min="20" max="20" width="1.5703125" customWidth="1"/>
    <col min="21" max="21" width="0.7109375" customWidth="1"/>
    <col min="22" max="22" width="4.85546875" customWidth="1"/>
    <col min="23" max="23" width="6.7109375" customWidth="1"/>
    <col min="24" max="24" width="11.5703125" customWidth="1"/>
    <col min="25" max="25" width="9.28515625" bestFit="1" customWidth="1"/>
    <col min="26" max="26" width="13.28515625" customWidth="1"/>
    <col min="27" max="27" width="16.42578125" customWidth="1"/>
  </cols>
  <sheetData>
    <row r="1" spans="2:27" ht="8.25" customHeight="1" x14ac:dyDescent="0.2"/>
    <row r="2" spans="2:27" ht="7.5" customHeight="1" x14ac:dyDescent="0.25">
      <c r="C2" s="6"/>
      <c r="D2" s="6"/>
    </row>
    <row r="3" spans="2:27" ht="5.25" customHeight="1" x14ac:dyDescent="0.25">
      <c r="C3" s="3"/>
      <c r="D3" s="3"/>
      <c r="E3" s="3"/>
      <c r="F3" s="71"/>
      <c r="G3" s="71"/>
      <c r="H3" s="71"/>
    </row>
    <row r="4" spans="2:27" x14ac:dyDescent="0.2">
      <c r="F4" s="82"/>
    </row>
    <row r="5" spans="2:27" s="12" customFormat="1" ht="24" customHeight="1" x14ac:dyDescent="0.2">
      <c r="D5" s="66"/>
      <c r="E5" s="68">
        <f ca="1">NOW()</f>
        <v>41956.076080671293</v>
      </c>
      <c r="F5" s="81" t="s">
        <v>57</v>
      </c>
      <c r="G5" s="79"/>
      <c r="H5" s="68"/>
      <c r="I5" s="80" t="s">
        <v>58</v>
      </c>
      <c r="J5" s="68"/>
      <c r="K5" s="68"/>
      <c r="L5" s="68"/>
      <c r="M5" s="68"/>
      <c r="N5" s="68"/>
      <c r="O5" s="68"/>
      <c r="P5" s="68"/>
      <c r="Q5" s="134" t="s">
        <v>25</v>
      </c>
      <c r="R5" s="134"/>
      <c r="S5" s="67"/>
      <c r="V5" s="119" t="s">
        <v>69</v>
      </c>
      <c r="W5" s="120"/>
      <c r="X5" s="120"/>
      <c r="Y5" s="120"/>
      <c r="Z5" s="120"/>
      <c r="AA5" s="121"/>
    </row>
    <row r="6" spans="2:27" ht="6.75" customHeight="1" x14ac:dyDescent="0.2">
      <c r="V6" s="122"/>
      <c r="W6" s="123"/>
      <c r="X6" s="123"/>
      <c r="Y6" s="123"/>
      <c r="Z6" s="123"/>
      <c r="AA6" s="124"/>
    </row>
    <row r="7" spans="2:27" ht="12.75" customHeight="1" x14ac:dyDescent="0.2">
      <c r="D7" s="11"/>
      <c r="E7" s="60" t="s">
        <v>1</v>
      </c>
      <c r="F7" s="72">
        <v>48</v>
      </c>
      <c r="G7" s="72">
        <v>49</v>
      </c>
      <c r="H7" s="72">
        <v>50</v>
      </c>
      <c r="I7" s="72">
        <v>51</v>
      </c>
      <c r="J7" s="72">
        <v>52</v>
      </c>
      <c r="K7" s="72">
        <v>53</v>
      </c>
      <c r="L7" s="72">
        <v>54</v>
      </c>
      <c r="M7" s="72">
        <v>55</v>
      </c>
      <c r="N7" s="72">
        <v>56</v>
      </c>
      <c r="O7" s="72">
        <v>57</v>
      </c>
      <c r="V7" s="65" t="s">
        <v>76</v>
      </c>
      <c r="W7" s="64"/>
      <c r="X7" s="64"/>
      <c r="Y7" s="88" t="s">
        <v>13</v>
      </c>
      <c r="Z7" s="64" t="s">
        <v>77</v>
      </c>
      <c r="AA7" s="92" t="s">
        <v>78</v>
      </c>
    </row>
    <row r="8" spans="2:27" ht="19.5" customHeight="1" x14ac:dyDescent="0.2">
      <c r="C8" s="61" t="s">
        <v>13</v>
      </c>
      <c r="D8" s="117" t="s">
        <v>18</v>
      </c>
      <c r="E8" s="117"/>
      <c r="F8" s="74" t="s">
        <v>14</v>
      </c>
      <c r="G8" s="74" t="s">
        <v>14</v>
      </c>
      <c r="H8" s="74" t="s">
        <v>14</v>
      </c>
      <c r="I8" s="74" t="s">
        <v>16</v>
      </c>
      <c r="J8" s="74" t="s">
        <v>14</v>
      </c>
      <c r="K8" s="74" t="s">
        <v>14</v>
      </c>
      <c r="L8" s="74" t="s">
        <v>14</v>
      </c>
      <c r="M8" s="74" t="s">
        <v>14</v>
      </c>
      <c r="N8" s="74" t="s">
        <v>14</v>
      </c>
      <c r="O8" s="74" t="s">
        <v>14</v>
      </c>
      <c r="P8" s="132" t="s">
        <v>32</v>
      </c>
      <c r="Q8" s="132"/>
      <c r="R8" s="132"/>
      <c r="S8" s="132"/>
      <c r="V8" s="105" t="s">
        <v>73</v>
      </c>
      <c r="W8" s="106"/>
      <c r="X8" s="106"/>
      <c r="Y8" s="107">
        <f>Q17+Q21-R17-R21</f>
        <v>11</v>
      </c>
      <c r="Z8" s="108" t="e">
        <f>Push4DIndicator(9,Y8)</f>
        <v>#VALUE!</v>
      </c>
      <c r="AA8" s="109" t="s">
        <v>79</v>
      </c>
    </row>
    <row r="9" spans="2:27" ht="18" customHeight="1" x14ac:dyDescent="0.2">
      <c r="C9" s="61" t="s">
        <v>0</v>
      </c>
      <c r="D9" s="117" t="s">
        <v>15</v>
      </c>
      <c r="E9" s="117"/>
      <c r="F9" s="74" t="s">
        <v>9</v>
      </c>
      <c r="G9" s="74" t="s">
        <v>62</v>
      </c>
      <c r="H9" s="74" t="s">
        <v>63</v>
      </c>
      <c r="I9" s="74" t="s">
        <v>63</v>
      </c>
      <c r="J9" s="74" t="s">
        <v>64</v>
      </c>
      <c r="K9" s="74" t="s">
        <v>65</v>
      </c>
      <c r="L9" s="74" t="s">
        <v>17</v>
      </c>
      <c r="M9" s="74" t="s">
        <v>66</v>
      </c>
      <c r="N9" s="74" t="s">
        <v>67</v>
      </c>
      <c r="O9" s="74" t="s">
        <v>68</v>
      </c>
      <c r="Q9" s="8" t="s">
        <v>33</v>
      </c>
      <c r="R9" s="8" t="s">
        <v>34</v>
      </c>
      <c r="V9" s="105" t="s">
        <v>74</v>
      </c>
      <c r="W9" s="106"/>
      <c r="X9" s="106"/>
      <c r="Y9" s="107">
        <f>SumCellColor(F15:J22,Parameter!$D$26)-SumCellColor(F15:J22,Parameter!$D$27)</f>
        <v>-8</v>
      </c>
      <c r="Z9" s="108" t="e">
        <f>Push4DIndicator(10,Y9)</f>
        <v>#VALUE!</v>
      </c>
      <c r="AA9" s="110" t="s">
        <v>81</v>
      </c>
    </row>
    <row r="10" spans="2:27" s="2" customFormat="1" ht="21.75" customHeight="1" x14ac:dyDescent="0.2">
      <c r="C10" s="62" t="s">
        <v>2</v>
      </c>
      <c r="D10" s="118" t="s">
        <v>3</v>
      </c>
      <c r="E10" s="118"/>
      <c r="F10" s="75" t="str">
        <f>INT(RTD("garrayrtd.w59",,"a.48.1")) &amp; "-" &amp; INT(RTD("garrayrtd.w59",,"a.48.2")) &amp; " " &amp; INT(RTD("garrayrtd.w59",,"a.48.3"))</f>
        <v>11-12 852</v>
      </c>
      <c r="G10" s="75" t="str">
        <f>INT(RTD("garrayrtd.w59",,"a.49.1")) &amp; "-" &amp; INT(RTD("garrayrtd.w59",,"a.49.2")) &amp; " " &amp; INT(RTD("garrayrtd.w59",,"a.49.3"))</f>
        <v>11-12 852</v>
      </c>
      <c r="H10" s="75" t="str">
        <f>INT(RTD("garrayrtd.w59",,"a.50.1")) &amp; "-" &amp; INT(RTD("garrayrtd.w59",,"a.50.2")) &amp; " " &amp; INT(RTD("garrayrtd.w59",,"a.50.3"))</f>
        <v>11-12 851</v>
      </c>
      <c r="I10" s="75" t="str">
        <f>INT(RTD("garrayrtd.w59",,"a.51.1")) &amp; "-" &amp; INT(RTD("garrayrtd.w59",,"a.51.2")) &amp; " " &amp; INT(RTD("garrayrtd.w59",,"a.51.3"))</f>
        <v>11-11 1612</v>
      </c>
      <c r="J10" s="75" t="str">
        <f>INT(RTD("garrayrtd.w59",,"a.52.1")) &amp; "-" &amp; INT(RTD("garrayrtd.w59",,"a.52.2")) &amp; " " &amp; INT(RTD("garrayrtd.w59",,"a.52.3"))</f>
        <v>11-12 850</v>
      </c>
      <c r="K10" s="75" t="str">
        <f>INT(RTD("garrayrtd.w59",,"a.53.1")) &amp; "-" &amp; INT(RTD("garrayrtd.w59",,"a.53.2")) &amp; " " &amp; INT(RTD("garrayrtd.w59",,"a.53.3"))</f>
        <v>11-12 851</v>
      </c>
      <c r="L10" s="75" t="str">
        <f>INT(RTD("garrayrtd.w59",,"a.54.1")) &amp; "-" &amp; INT(RTD("garrayrtd.w59",,"a.54.2")) &amp; " " &amp; INT(RTD("garrayrtd.w59",,"a.54.3"))</f>
        <v>11-12 845</v>
      </c>
      <c r="M10" s="75" t="str">
        <f>INT(RTD("garrayrtd.w59",,"a.55.1")) &amp; "-" &amp; INT(RTD("garrayrtd.w59",,"a.55.2")) &amp; " " &amp; INT(RTD("garrayrtd.w59",,"a.55.3"))</f>
        <v>11-12 833</v>
      </c>
      <c r="N10" s="75" t="str">
        <f>INT(RTD("garrayrtd.w59",,"a.56.1")) &amp; "-" &amp; INT(RTD("garrayrtd.w59",,"a.56.2")) &amp; " " &amp; INT(RTD("garrayrtd.w59",,"a.56.3"))</f>
        <v>11-12 806</v>
      </c>
      <c r="O10" s="75" t="str">
        <f>INT(RTD("garrayrtd.w59",,"a.57.1")) &amp; "-" &amp; INT(RTD("garrayrtd.w59",,"a.57.2")) &amp; " " &amp; INT(RTD("garrayrtd.w59",,"a.57.3"))</f>
        <v>11-12 645</v>
      </c>
      <c r="Q10" s="126">
        <f>IF(AND(Q17&gt;=Parameter!D8, Q21&gt;=Parameter!D9, R17&lt;=Parameter!D11, R21&lt;= Parameter!D12),1,0)</f>
        <v>0</v>
      </c>
      <c r="R10" s="129">
        <f>IF(AND(R17&gt;= Parameter!D18, R21&gt;=Parameter!D19, Q17&lt;= Parameter!D21, Q21&lt;= Parameter!D22),1,0)</f>
        <v>0</v>
      </c>
      <c r="V10" s="111" t="s">
        <v>84</v>
      </c>
      <c r="W10" s="112"/>
      <c r="X10" s="112"/>
      <c r="Y10" s="113">
        <f>SumCellColor(H15:I22,Parameter!$D$26)+SumCellColor(F15:F22,Parameter!$D$26)-SumCellColor(F15:F22,Parameter!$D$27)-SumCellColor(H15:I22,Parameter!$D$27)</f>
        <v>-9</v>
      </c>
      <c r="Z10" s="113" t="e">
        <f>Push4DIndicator(11,Y10)</f>
        <v>#VALUE!</v>
      </c>
      <c r="AA10" s="110" t="s">
        <v>80</v>
      </c>
    </row>
    <row r="11" spans="2:27" s="2" customFormat="1" ht="9" customHeight="1" x14ac:dyDescent="0.2">
      <c r="C11" s="62"/>
      <c r="D11" s="9"/>
      <c r="E11" s="4"/>
      <c r="F11" s="76"/>
      <c r="G11" s="76"/>
      <c r="H11" s="76"/>
      <c r="I11" s="76"/>
      <c r="J11" s="76"/>
      <c r="K11" s="76"/>
      <c r="L11" s="76"/>
      <c r="M11" s="76"/>
      <c r="N11" s="76"/>
      <c r="O11" s="76"/>
      <c r="Q11" s="127"/>
      <c r="R11" s="130"/>
      <c r="V11" s="101"/>
      <c r="W11" s="102"/>
      <c r="X11" s="102"/>
      <c r="Y11" s="102"/>
      <c r="Z11" s="103"/>
      <c r="AA11" s="104"/>
    </row>
    <row r="12" spans="2:27" s="2" customFormat="1" ht="21" customHeight="1" x14ac:dyDescent="0.2">
      <c r="C12" s="63">
        <v>4</v>
      </c>
      <c r="D12" s="116" t="s">
        <v>61</v>
      </c>
      <c r="E12" s="8" t="s">
        <v>4</v>
      </c>
      <c r="F12" s="77">
        <f>1*(RTD("garrayrtd.w59",,"a.48.4"))</f>
        <v>-1</v>
      </c>
      <c r="G12" s="77">
        <f>1*(RTD("garrayrtd.w59",,"a.49.4"))</f>
        <v>1</v>
      </c>
      <c r="H12" s="75">
        <f>1*RTD("garrayrtd.w59",,"a.50.4")</f>
        <v>1</v>
      </c>
      <c r="I12" s="75">
        <f>1*RTD("garrayrtd.w59",,"a.51.4")</f>
        <v>-1</v>
      </c>
      <c r="J12" s="75">
        <f>1*RTD("garrayrtd.w59",,"a.52.4")</f>
        <v>1</v>
      </c>
      <c r="K12" s="75">
        <f>1*RTD("garrayrtd.w59",,"a.53.4")</f>
        <v>1</v>
      </c>
      <c r="L12" s="75">
        <f>1*RTD("garrayrtd.w59",,"a.54.4")</f>
        <v>-1</v>
      </c>
      <c r="M12" s="75">
        <f>1*RTD("garrayrtd.w59",,"a.55.4")</f>
        <v>-1</v>
      </c>
      <c r="N12" s="75">
        <f>1*RTD("garrayrtd.w59",,"a.56.4")</f>
        <v>-1</v>
      </c>
      <c r="O12" s="75">
        <f>1*RTD("garrayrtd.w59",,"a.57.4")</f>
        <v>-1</v>
      </c>
      <c r="Q12" s="128"/>
      <c r="R12" s="131"/>
      <c r="V12" s="95" t="s">
        <v>75</v>
      </c>
      <c r="W12" s="96"/>
      <c r="X12" s="96"/>
      <c r="Y12" s="85">
        <f>SUM(L12:O13)/8</f>
        <v>-0.75</v>
      </c>
      <c r="Z12" s="83" t="e">
        <f>Push4DIndicator(15,Y12)</f>
        <v>#VALUE!</v>
      </c>
      <c r="AA12" s="94" t="s">
        <v>83</v>
      </c>
    </row>
    <row r="13" spans="2:27" s="2" customFormat="1" ht="21" customHeight="1" x14ac:dyDescent="0.2">
      <c r="B13" s="5" t="s">
        <v>6</v>
      </c>
      <c r="C13" s="63">
        <v>5</v>
      </c>
      <c r="D13" s="116"/>
      <c r="E13" s="13" t="s">
        <v>19</v>
      </c>
      <c r="F13" s="75">
        <f>1*(RTD("garrayrtd.w59",,"a.48.5"))</f>
        <v>1</v>
      </c>
      <c r="G13" s="75">
        <f>1*(RTD("garrayrtd.w59",,"a.49.5"))</f>
        <v>1</v>
      </c>
      <c r="H13" s="75">
        <f>1*RTD("garrayrtd.w59",,"a.50.5")</f>
        <v>1</v>
      </c>
      <c r="I13" s="75">
        <f>1*RTD("garrayrtd.w59",,"a.51.5")</f>
        <v>-1</v>
      </c>
      <c r="J13" s="75">
        <f>1*RTD("garrayrtd.w59",,"a.52.5")</f>
        <v>1</v>
      </c>
      <c r="K13" s="75">
        <f>1*RTD("garrayrtd.w59",,"a.53.5")</f>
        <v>-1</v>
      </c>
      <c r="L13" s="75">
        <f>1*RTD("garrayrtd.w59",,"a.54.5")</f>
        <v>-1</v>
      </c>
      <c r="M13" s="75">
        <f>1*RTD("garrayrtd.w59",,"a.55.5")</f>
        <v>-1</v>
      </c>
      <c r="N13" s="75">
        <f>1*RTD("garrayrtd.w59",,"a.56.5")</f>
        <v>1</v>
      </c>
      <c r="O13" s="75">
        <f>1*RTD("garrayrtd.w59",,"a.57.5")</f>
        <v>-1</v>
      </c>
      <c r="Q13" s="17"/>
      <c r="R13" s="16"/>
      <c r="V13" s="97" t="s">
        <v>72</v>
      </c>
      <c r="W13" s="98"/>
      <c r="X13" s="98"/>
      <c r="Y13" s="93">
        <f>(SUM(F12:H13)+SUM(J12:K13)+((-1)*(I12+I13)))/12</f>
        <v>0.66666666666666663</v>
      </c>
      <c r="Z13" s="99" t="e">
        <f>Push4DIndicator(16,Y13)</f>
        <v>#VALUE!</v>
      </c>
      <c r="AA13" s="100" t="s">
        <v>82</v>
      </c>
    </row>
    <row r="14" spans="2:27" s="2" customFormat="1" ht="9" customHeight="1" x14ac:dyDescent="0.2">
      <c r="B14" s="5"/>
      <c r="C14" s="63"/>
      <c r="D14" s="10"/>
      <c r="E14" s="7"/>
      <c r="F14" s="76"/>
      <c r="G14" s="76"/>
      <c r="H14" s="76"/>
      <c r="I14" s="76"/>
      <c r="J14" s="76"/>
      <c r="K14" s="76"/>
      <c r="L14" s="76"/>
      <c r="M14" s="76"/>
      <c r="N14" s="76"/>
      <c r="O14" s="76"/>
      <c r="V14" s="90"/>
      <c r="W14" s="90"/>
      <c r="X14" s="90"/>
      <c r="Y14" s="91"/>
      <c r="Z14" s="90"/>
      <c r="AA14" s="1"/>
    </row>
    <row r="15" spans="2:27" s="2" customFormat="1" ht="21" customHeight="1" x14ac:dyDescent="0.2">
      <c r="C15" s="63">
        <v>6</v>
      </c>
      <c r="D15" s="116" t="s">
        <v>59</v>
      </c>
      <c r="E15" s="8" t="s">
        <v>20</v>
      </c>
      <c r="F15" s="78">
        <f>1*(RTD("garrayrtd.w59",,"a.48.6"))</f>
        <v>-16.755072232581401</v>
      </c>
      <c r="G15" s="78">
        <f>1*(RTD("garrayrtd.w59",,"a.49.6"))</f>
        <v>-0.63977551741077499</v>
      </c>
      <c r="H15" s="78">
        <f>1*RTD("garrayrtd.w59",,"a.50.6")</f>
        <v>32.524529546342002</v>
      </c>
      <c r="I15" s="78">
        <f>1*RTD("garrayrtd.w59",,"a.51.6")</f>
        <v>-79.452196355789098</v>
      </c>
      <c r="J15" s="78">
        <f>1*RTD("garrayrtd.w59",,"a.52.6")</f>
        <v>32.442255027788001</v>
      </c>
      <c r="K15" s="78">
        <f>1*RTD("garrayrtd.w59",,"a.53.6")</f>
        <v>1.4403299109996199</v>
      </c>
      <c r="L15" s="78">
        <f>1*RTD("garrayrtd.w59",,"a.54.6")</f>
        <v>-30.333408027254201</v>
      </c>
      <c r="M15" s="78">
        <f>1*RTD("garrayrtd.w59",,"a.55.6")</f>
        <v>-79.608726599927607</v>
      </c>
      <c r="N15" s="78">
        <f>1*RTD("garrayrtd.w59",,"a.56.6")</f>
        <v>-98.555153690268497</v>
      </c>
      <c r="O15" s="78">
        <f>1*RTD("garrayrtd.w59",,"a.57.6")</f>
        <v>-48.941491011963699</v>
      </c>
      <c r="P15" s="132" t="s">
        <v>26</v>
      </c>
      <c r="Q15" s="132"/>
      <c r="R15" s="132"/>
      <c r="S15" s="132"/>
    </row>
    <row r="16" spans="2:27" s="2" customFormat="1" ht="21" customHeight="1" x14ac:dyDescent="0.2">
      <c r="C16" s="63">
        <v>7</v>
      </c>
      <c r="D16" s="116"/>
      <c r="E16" s="8" t="s">
        <v>5</v>
      </c>
      <c r="F16" s="78">
        <f>1*(RTD("garrayrtd.w59",,"a.48.7"))</f>
        <v>52.380952380952401</v>
      </c>
      <c r="G16" s="78">
        <f>1*(RTD("garrayrtd.w59",,"a.49.7"))</f>
        <v>55.5555555555556</v>
      </c>
      <c r="H16" s="78">
        <f>1*RTD("garrayrtd.w59",,"a.50.7")</f>
        <v>60</v>
      </c>
      <c r="I16" s="78">
        <f>1*RTD("garrayrtd.w59",,"a.51.7")</f>
        <v>26.190476190476002</v>
      </c>
      <c r="J16" s="78">
        <f>1*RTD("garrayrtd.w59",,"a.52.7")</f>
        <v>58.064516129032299</v>
      </c>
      <c r="K16" s="78">
        <f>1*RTD("garrayrtd.w59",,"a.53.7")</f>
        <v>52.941176470588204</v>
      </c>
      <c r="L16" s="78">
        <f>1*RTD("garrayrtd.w59",,"a.54.7")</f>
        <v>22.2222222222222</v>
      </c>
      <c r="M16" s="78">
        <f>1*RTD("garrayrtd.w59",,"a.55.7")</f>
        <v>22</v>
      </c>
      <c r="N16" s="78">
        <f>1*RTD("garrayrtd.w59",,"a.56.7")</f>
        <v>12.7659574468085</v>
      </c>
      <c r="O16" s="78">
        <f>1*RTD("garrayrtd.w59",,"a.57.7")</f>
        <v>34.246575342465803</v>
      </c>
      <c r="P16" s="18"/>
      <c r="Q16" s="19" t="s">
        <v>38</v>
      </c>
      <c r="R16" s="20" t="s">
        <v>39</v>
      </c>
    </row>
    <row r="17" spans="3:22" s="2" customFormat="1" ht="21" customHeight="1" x14ac:dyDescent="0.2">
      <c r="C17" s="63">
        <v>8</v>
      </c>
      <c r="D17" s="116"/>
      <c r="E17" s="8" t="s">
        <v>10</v>
      </c>
      <c r="F17" s="78">
        <f>1*RTD("garrayrtd.w59",,"a.48.8")</f>
        <v>52.699042776906097</v>
      </c>
      <c r="G17" s="78">
        <f>1*RTD("garrayrtd.w59",,"a.49.8")</f>
        <v>65.203895027598705</v>
      </c>
      <c r="H17" s="78">
        <f>1*RTD("garrayrtd.w59",,"a.50.8")</f>
        <v>72.844725382809003</v>
      </c>
      <c r="I17" s="78">
        <f>1*RTD("garrayrtd.w59",,"a.51.8")</f>
        <v>41.723219530152797</v>
      </c>
      <c r="J17" s="78">
        <f>1*RTD("garrayrtd.w59",,"a.52.8")</f>
        <v>77.097627847353095</v>
      </c>
      <c r="K17" s="78">
        <f>1*RTD("garrayrtd.w59",,"a.53.8")</f>
        <v>51.208948074457503</v>
      </c>
      <c r="L17" s="78">
        <f>1*RTD("garrayrtd.w59",,"a.54.8")</f>
        <v>24.566125405740699</v>
      </c>
      <c r="M17" s="78">
        <f>1*RTD("garrayrtd.w59",,"a.55.8")</f>
        <v>10.217719906389901</v>
      </c>
      <c r="N17" s="78">
        <f>1*RTD("garrayrtd.w59",,"a.56.8")</f>
        <v>13.9619111693225</v>
      </c>
      <c r="O17" s="78">
        <f>1*RTD("garrayrtd.w59",,"a.57.8")</f>
        <v>16.930185506769998</v>
      </c>
      <c r="P17" s="18"/>
      <c r="Q17" s="125">
        <f>SumCellColor($F$15:$O$18,Parameter!$D$26)</f>
        <v>11</v>
      </c>
      <c r="R17" s="125">
        <f>SumCellColor($F$15:$O$18,Parameter!$D$27)</f>
        <v>5</v>
      </c>
      <c r="V17" s="89"/>
    </row>
    <row r="18" spans="3:22" s="2" customFormat="1" ht="21" customHeight="1" x14ac:dyDescent="0.2">
      <c r="C18" s="63">
        <v>9</v>
      </c>
      <c r="D18" s="116"/>
      <c r="E18" s="8" t="s">
        <v>7</v>
      </c>
      <c r="F18" s="78">
        <f>1*RTD("garrayrtd.w59",,"a.48.9")</f>
        <v>9</v>
      </c>
      <c r="G18" s="78">
        <f>1*RTD("garrayrtd.w59",,"a.49.9")</f>
        <v>7</v>
      </c>
      <c r="H18" s="78">
        <f>1*RTD("garrayrtd.w59",,"a.50.9")</f>
        <v>5</v>
      </c>
      <c r="I18" s="78">
        <f>1*RTD("garrayrtd.w59",,"a.51.9")</f>
        <v>-9</v>
      </c>
      <c r="J18" s="78">
        <f>1*RTD("garrayrtd.w59",,"a.52.9")</f>
        <v>1</v>
      </c>
      <c r="K18" s="78">
        <f>1*RTD("garrayrtd.w59",,"a.53.9")</f>
        <v>1</v>
      </c>
      <c r="L18" s="78">
        <f>1*RTD("garrayrtd.w59",,"a.54.9")</f>
        <v>-11</v>
      </c>
      <c r="M18" s="78">
        <f>1*RTD("garrayrtd.w59",,"a.55.9")</f>
        <v>-14</v>
      </c>
      <c r="N18" s="78">
        <f>1*RTD("garrayrtd.w59",,"a.56.9")</f>
        <v>-12</v>
      </c>
      <c r="O18" s="78">
        <f>1*RTD("garrayrtd.w59",,"a.57.9")</f>
        <v>-2</v>
      </c>
      <c r="P18" s="18"/>
      <c r="Q18" s="125"/>
      <c r="R18" s="125"/>
    </row>
    <row r="19" spans="3:22" s="2" customFormat="1" ht="10.5" customHeight="1" x14ac:dyDescent="0.2">
      <c r="C19" s="63"/>
      <c r="D19" s="10"/>
      <c r="E19" s="7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16"/>
      <c r="Q19" s="15"/>
      <c r="R19" s="15"/>
    </row>
    <row r="20" spans="3:22" s="2" customFormat="1" ht="21" customHeight="1" x14ac:dyDescent="0.2">
      <c r="C20" s="63">
        <v>10</v>
      </c>
      <c r="D20" s="116" t="s">
        <v>60</v>
      </c>
      <c r="E20" s="8" t="s">
        <v>8</v>
      </c>
      <c r="F20" s="75">
        <f>1*RTD("garrayrtd.w59",,"a.48.10")</f>
        <v>-4</v>
      </c>
      <c r="G20" s="75">
        <f>1*RTD("garrayrtd.w59",,"a.49.10")</f>
        <v>8</v>
      </c>
      <c r="H20" s="75">
        <f>1*RTD("garrayrtd.w59",,"a.50.10")</f>
        <v>0</v>
      </c>
      <c r="I20" s="75">
        <f>1*RTD("garrayrtd.w59",,"a.51.10")</f>
        <v>2</v>
      </c>
      <c r="J20" s="75">
        <f>1*RTD("garrayrtd.w59",,"a.52.10")</f>
        <v>4</v>
      </c>
      <c r="K20" s="75">
        <f>1*RTD("garrayrtd.w59",,"a.53.10")</f>
        <v>9</v>
      </c>
      <c r="L20" s="75">
        <f>1*RTD("garrayrtd.w59",,"a.54.10")</f>
        <v>4</v>
      </c>
      <c r="M20" s="75">
        <f>1*RTD("garrayrtd.w59",,"a.55.10")</f>
        <v>6</v>
      </c>
      <c r="N20" s="75">
        <f>1*RTD("garrayrtd.w59",,"a.56.10")</f>
        <v>3</v>
      </c>
      <c r="O20" s="75">
        <f>1*RTD("garrayrtd.w59",,"a.57.10")</f>
        <v>0</v>
      </c>
      <c r="P20" s="133"/>
      <c r="Q20" s="19" t="s">
        <v>24</v>
      </c>
      <c r="R20" s="20" t="s">
        <v>23</v>
      </c>
    </row>
    <row r="21" spans="3:22" s="2" customFormat="1" ht="21" customHeight="1" x14ac:dyDescent="0.2">
      <c r="C21" s="63">
        <v>11</v>
      </c>
      <c r="D21" s="116"/>
      <c r="E21" s="8" t="s">
        <v>11</v>
      </c>
      <c r="F21" s="75">
        <f>1*RTD("garrayrtd.w59",,"a.48.11")</f>
        <v>-2</v>
      </c>
      <c r="G21" s="75">
        <f>1*RTD("garrayrtd.w59",,"a.49.11")</f>
        <v>-1</v>
      </c>
      <c r="H21" s="75">
        <f>1*RTD("garrayrtd.w59",,"a.50.11")</f>
        <v>0</v>
      </c>
      <c r="I21" s="75">
        <f>1*RTD("garrayrtd.w59",,"a.51.11")</f>
        <v>4</v>
      </c>
      <c r="J21" s="75">
        <f>1*RTD("garrayrtd.w59",,"a.52.11")</f>
        <v>0</v>
      </c>
      <c r="K21" s="75">
        <f>1*RTD("garrayrtd.w59",,"a.53.11")</f>
        <v>0</v>
      </c>
      <c r="L21" s="75">
        <f>1*RTD("garrayrtd.w59",,"a.54.11")</f>
        <v>4</v>
      </c>
      <c r="M21" s="75">
        <f>1*RTD("garrayrtd.w59",,"a.55.11")</f>
        <v>0</v>
      </c>
      <c r="N21" s="75">
        <f>1*RTD("garrayrtd.w59",,"a.56.11")</f>
        <v>3</v>
      </c>
      <c r="O21" s="75">
        <f>1*RTD("garrayrtd.w59",,"a.57.11")</f>
        <v>0</v>
      </c>
      <c r="P21" s="133"/>
      <c r="Q21" s="125">
        <f>SumCellColor($F$20:$O$22,Parameter!$D$26)</f>
        <v>11</v>
      </c>
      <c r="R21" s="125">
        <f>SumCellColor($F$20:$O$22,Parameter!$D$27)</f>
        <v>6</v>
      </c>
    </row>
    <row r="22" spans="3:22" s="2" customFormat="1" ht="21" customHeight="1" x14ac:dyDescent="0.2">
      <c r="C22" s="63">
        <v>12</v>
      </c>
      <c r="D22" s="116"/>
      <c r="E22" s="8" t="s">
        <v>12</v>
      </c>
      <c r="F22" s="75">
        <f>1*RTD("garrayrtd.w59",,"a.48.12")</f>
        <v>-1</v>
      </c>
      <c r="G22" s="75">
        <f>1*RTD("garrayrtd.w59",,"a.49.12")</f>
        <v>0</v>
      </c>
      <c r="H22" s="75">
        <f>1*RTD("garrayrtd.w59",,"a.50.12")</f>
        <v>0</v>
      </c>
      <c r="I22" s="75">
        <f>1*RTD("garrayrtd.w59",,"a.51.12")</f>
        <v>0</v>
      </c>
      <c r="J22" s="75">
        <f>1*RTD("garrayrtd.w59",,"a.52.12")</f>
        <v>7</v>
      </c>
      <c r="K22" s="75">
        <f>1*RTD("garrayrtd.w59",,"a.53.12")</f>
        <v>1</v>
      </c>
      <c r="L22" s="75">
        <f>1*RTD("garrayrtd.w59",,"a.54.12")</f>
        <v>0</v>
      </c>
      <c r="M22" s="75">
        <f>1*RTD("garrayrtd.w59",,"a.55.12")</f>
        <v>7</v>
      </c>
      <c r="N22" s="75">
        <f>1*RTD("garrayrtd.w59",,"a.56.12")</f>
        <v>0</v>
      </c>
      <c r="O22" s="75">
        <f>1*RTD("garrayrtd.w59",,"a.57.12")</f>
        <v>0</v>
      </c>
      <c r="P22" s="133"/>
      <c r="Q22" s="125"/>
      <c r="R22" s="125"/>
    </row>
    <row r="23" spans="3:22" s="2" customFormat="1" ht="21" customHeight="1" x14ac:dyDescent="0.2">
      <c r="C23" s="4"/>
      <c r="D23" s="4"/>
      <c r="E23" s="7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5" spans="3:22" x14ac:dyDescent="0.2">
      <c r="D25" s="14"/>
      <c r="E25" s="14" t="s">
        <v>31</v>
      </c>
      <c r="F25" s="71"/>
      <c r="G25" s="71"/>
      <c r="M25" s="70" t="s">
        <v>41</v>
      </c>
    </row>
    <row r="26" spans="3:22" x14ac:dyDescent="0.2">
      <c r="D26" s="14"/>
      <c r="E26" s="14"/>
      <c r="F26" s="71"/>
      <c r="G26" s="71"/>
    </row>
    <row r="31" spans="3:22" ht="14.25" x14ac:dyDescent="0.25">
      <c r="R31" s="69"/>
    </row>
    <row r="32" spans="3:22" ht="14.25" x14ac:dyDescent="0.25">
      <c r="R32" s="69"/>
    </row>
    <row r="33" spans="18:18" ht="14.25" x14ac:dyDescent="0.25">
      <c r="R33" s="69"/>
    </row>
    <row r="34" spans="18:18" ht="14.25" x14ac:dyDescent="0.25">
      <c r="R34" s="69"/>
    </row>
  </sheetData>
  <dataConsolidate/>
  <mergeCells count="17">
    <mergeCell ref="V5:AA6"/>
    <mergeCell ref="R17:R18"/>
    <mergeCell ref="Q21:Q22"/>
    <mergeCell ref="Q10:Q12"/>
    <mergeCell ref="R10:R12"/>
    <mergeCell ref="P15:S15"/>
    <mergeCell ref="P20:P22"/>
    <mergeCell ref="Q17:Q18"/>
    <mergeCell ref="Q5:R5"/>
    <mergeCell ref="P8:S8"/>
    <mergeCell ref="R21:R22"/>
    <mergeCell ref="D20:D22"/>
    <mergeCell ref="D8:E8"/>
    <mergeCell ref="D9:E9"/>
    <mergeCell ref="D10:E10"/>
    <mergeCell ref="D12:D13"/>
    <mergeCell ref="D15:D18"/>
  </mergeCells>
  <phoneticPr fontId="2" type="noConversion"/>
  <conditionalFormatting sqref="F12:H13 F20:H22 J12:O13 J20:O22">
    <cfRule type="cellIs" dxfId="17" priority="143" stopIfTrue="1" operator="lessThan">
      <formula>0</formula>
    </cfRule>
    <cfRule type="cellIs" dxfId="16" priority="144" stopIfTrue="1" operator="greaterThan">
      <formula>0</formula>
    </cfRule>
  </conditionalFormatting>
  <conditionalFormatting sqref="F15:H15 J15:O15">
    <cfRule type="cellIs" dxfId="15" priority="139" stopIfTrue="1" operator="lessThan">
      <formula>-90</formula>
    </cfRule>
    <cfRule type="cellIs" dxfId="14" priority="140" stopIfTrue="1" operator="greaterThan">
      <formula>90</formula>
    </cfRule>
  </conditionalFormatting>
  <conditionalFormatting sqref="F16:H17 J16:O17">
    <cfRule type="cellIs" dxfId="13" priority="133" stopIfTrue="1" operator="lessThan">
      <formula>30</formula>
    </cfRule>
    <cfRule type="cellIs" dxfId="12" priority="134" stopIfTrue="1" operator="greaterThan">
      <formula>70</formula>
    </cfRule>
  </conditionalFormatting>
  <conditionalFormatting sqref="I15">
    <cfRule type="cellIs" dxfId="11" priority="37" stopIfTrue="1" operator="greaterThan">
      <formula>90</formula>
    </cfRule>
    <cfRule type="cellIs" dxfId="10" priority="38" stopIfTrue="1" operator="lessThan">
      <formula>-90</formula>
    </cfRule>
  </conditionalFormatting>
  <conditionalFormatting sqref="I16:I17">
    <cfRule type="cellIs" dxfId="9" priority="35" stopIfTrue="1" operator="greaterThan">
      <formula>70</formula>
    </cfRule>
    <cfRule type="cellIs" dxfId="8" priority="36" stopIfTrue="1" operator="lessThan">
      <formula>30</formula>
    </cfRule>
  </conditionalFormatting>
  <conditionalFormatting sqref="I20:I22 I12:I13">
    <cfRule type="cellIs" dxfId="7" priority="31" stopIfTrue="1" operator="greaterThan">
      <formula>0</formula>
    </cfRule>
    <cfRule type="cellIs" dxfId="6" priority="32" stopIfTrue="1" operator="lessThan">
      <formula>0</formula>
    </cfRule>
  </conditionalFormatting>
  <conditionalFormatting sqref="Q10">
    <cfRule type="cellIs" dxfId="5" priority="17" stopIfTrue="1" operator="equal">
      <formula>1</formula>
    </cfRule>
  </conditionalFormatting>
  <conditionalFormatting sqref="R10:R12">
    <cfRule type="cellIs" dxfId="4" priority="16" stopIfTrue="1" operator="equal">
      <formula>1</formula>
    </cfRule>
  </conditionalFormatting>
  <conditionalFormatting sqref="F18:H18 J18:O18">
    <cfRule type="cellIs" dxfId="3" priority="13" stopIfTrue="1" operator="lessThan">
      <formula>-8</formula>
    </cfRule>
    <cfRule type="cellIs" dxfId="2" priority="14" stopIfTrue="1" operator="greaterThan">
      <formula>8</formula>
    </cfRule>
  </conditionalFormatting>
  <conditionalFormatting sqref="I18">
    <cfRule type="cellIs" dxfId="1" priority="1" stopIfTrue="1" operator="greaterThan">
      <formula>8</formula>
    </cfRule>
    <cfRule type="cellIs" dxfId="0" priority="2" stopIfTrue="1" operator="lessThan">
      <formula>-8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41"/>
  <sheetViews>
    <sheetView showGridLines="0" showRowColHeaders="0" zoomScale="91" zoomScaleNormal="91" workbookViewId="0"/>
  </sheetViews>
  <sheetFormatPr defaultColWidth="11.42578125" defaultRowHeight="12.75" x14ac:dyDescent="0.2"/>
  <cols>
    <col min="1" max="1" width="4.28515625" customWidth="1"/>
    <col min="2" max="2" width="2.5703125" customWidth="1"/>
    <col min="3" max="3" width="27.85546875" customWidth="1"/>
    <col min="4" max="4" width="6" style="24" customWidth="1"/>
    <col min="5" max="5" width="2.5703125" customWidth="1"/>
    <col min="6" max="6" width="3" customWidth="1"/>
    <col min="7" max="7" width="3.85546875" customWidth="1"/>
    <col min="8" max="8" width="23.7109375" customWidth="1"/>
    <col min="9" max="9" width="2" customWidth="1"/>
    <col min="10" max="10" width="4.140625" customWidth="1"/>
  </cols>
  <sheetData>
    <row r="1" spans="2:11" ht="9" customHeight="1" x14ac:dyDescent="0.2"/>
    <row r="2" spans="2:11" ht="7.5" customHeight="1" x14ac:dyDescent="0.2"/>
    <row r="3" spans="2:11" ht="15" x14ac:dyDescent="0.2">
      <c r="B3" s="134" t="s">
        <v>35</v>
      </c>
      <c r="C3" s="134"/>
      <c r="D3" s="134"/>
      <c r="E3" s="134"/>
      <c r="G3" s="141"/>
      <c r="H3" s="141"/>
      <c r="I3" s="141"/>
      <c r="J3" s="141"/>
      <c r="K3" s="86"/>
    </row>
    <row r="4" spans="2:11" ht="13.5" thickBot="1" x14ac:dyDescent="0.25">
      <c r="G4" s="1"/>
      <c r="H4" s="1"/>
      <c r="I4" s="1"/>
      <c r="J4" s="1"/>
      <c r="K4" s="1"/>
    </row>
    <row r="5" spans="2:11" x14ac:dyDescent="0.2">
      <c r="B5" s="135" t="s">
        <v>36</v>
      </c>
      <c r="C5" s="136"/>
      <c r="D5" s="136"/>
      <c r="E5" s="137"/>
      <c r="G5" s="1"/>
      <c r="H5" s="1"/>
      <c r="I5" s="1"/>
      <c r="J5" s="1"/>
      <c r="K5" s="1"/>
    </row>
    <row r="6" spans="2:11" ht="7.5" customHeight="1" x14ac:dyDescent="0.2">
      <c r="B6" s="27"/>
      <c r="C6" s="1"/>
      <c r="D6" s="33"/>
      <c r="E6" s="28"/>
      <c r="G6" s="1"/>
      <c r="H6" s="1"/>
      <c r="I6" s="1"/>
      <c r="J6" s="1"/>
      <c r="K6" s="1"/>
    </row>
    <row r="7" spans="2:11" x14ac:dyDescent="0.2">
      <c r="B7" s="34" t="s">
        <v>37</v>
      </c>
      <c r="C7" s="1"/>
      <c r="D7" s="33"/>
      <c r="E7" s="28"/>
      <c r="G7" s="1"/>
      <c r="H7" s="84"/>
      <c r="I7" s="1"/>
      <c r="J7" s="1"/>
      <c r="K7" s="1"/>
    </row>
    <row r="8" spans="2:11" x14ac:dyDescent="0.2">
      <c r="B8" s="27"/>
      <c r="C8" s="21" t="s">
        <v>27</v>
      </c>
      <c r="D8" s="25">
        <v>19</v>
      </c>
      <c r="E8" s="28"/>
      <c r="G8" s="1"/>
      <c r="H8" s="1"/>
      <c r="I8" s="1"/>
      <c r="J8" s="1"/>
      <c r="K8" s="1"/>
    </row>
    <row r="9" spans="2:11" x14ac:dyDescent="0.2">
      <c r="B9" s="27"/>
      <c r="C9" s="22" t="s">
        <v>28</v>
      </c>
      <c r="D9" s="26">
        <v>7</v>
      </c>
      <c r="E9" s="28"/>
      <c r="G9" s="1"/>
      <c r="H9" s="1"/>
      <c r="I9" s="85"/>
      <c r="J9" s="1"/>
      <c r="K9" s="1"/>
    </row>
    <row r="10" spans="2:11" x14ac:dyDescent="0.2">
      <c r="B10" s="34" t="s">
        <v>46</v>
      </c>
      <c r="C10" s="37"/>
      <c r="D10" s="40"/>
      <c r="E10" s="28"/>
      <c r="G10" s="1"/>
      <c r="H10" s="1"/>
      <c r="I10" s="85"/>
      <c r="J10" s="1"/>
      <c r="K10" s="1"/>
    </row>
    <row r="11" spans="2:11" x14ac:dyDescent="0.2">
      <c r="B11" s="27"/>
      <c r="C11" s="38" t="s">
        <v>29</v>
      </c>
      <c r="D11" s="25">
        <v>3</v>
      </c>
      <c r="E11" s="28"/>
      <c r="G11" s="1"/>
      <c r="H11" s="1"/>
      <c r="I11" s="85"/>
      <c r="J11" s="1"/>
      <c r="K11" s="1"/>
    </row>
    <row r="12" spans="2:11" x14ac:dyDescent="0.2">
      <c r="B12" s="27"/>
      <c r="C12" s="39" t="s">
        <v>30</v>
      </c>
      <c r="D12" s="26">
        <v>3</v>
      </c>
      <c r="E12" s="28"/>
      <c r="G12" s="1"/>
      <c r="H12" s="87"/>
      <c r="I12" s="1"/>
      <c r="J12" s="1"/>
      <c r="K12" s="1"/>
    </row>
    <row r="13" spans="2:11" ht="7.5" customHeight="1" thickBot="1" x14ac:dyDescent="0.25">
      <c r="B13" s="29"/>
      <c r="C13" s="30"/>
      <c r="D13" s="31"/>
      <c r="E13" s="32"/>
      <c r="G13" s="1"/>
      <c r="H13" s="1"/>
      <c r="I13" s="1"/>
      <c r="J13" s="1"/>
      <c r="K13" s="1"/>
    </row>
    <row r="14" spans="2:11" ht="13.5" thickBot="1" x14ac:dyDescent="0.25"/>
    <row r="15" spans="2:11" ht="14.25" customHeight="1" x14ac:dyDescent="0.2">
      <c r="B15" s="138" t="s">
        <v>40</v>
      </c>
      <c r="C15" s="139"/>
      <c r="D15" s="139"/>
      <c r="E15" s="140"/>
    </row>
    <row r="16" spans="2:11" ht="5.25" customHeight="1" x14ac:dyDescent="0.2">
      <c r="B16" s="27"/>
      <c r="C16" s="1"/>
      <c r="D16" s="33"/>
      <c r="E16" s="28"/>
    </row>
    <row r="17" spans="2:5" x14ac:dyDescent="0.2">
      <c r="B17" s="34" t="s">
        <v>37</v>
      </c>
      <c r="C17" s="1"/>
      <c r="D17" s="33"/>
      <c r="E17" s="28"/>
    </row>
    <row r="18" spans="2:5" x14ac:dyDescent="0.2">
      <c r="B18" s="27"/>
      <c r="C18" s="21" t="s">
        <v>29</v>
      </c>
      <c r="D18" s="25">
        <v>19</v>
      </c>
      <c r="E18" s="28"/>
    </row>
    <row r="19" spans="2:5" x14ac:dyDescent="0.2">
      <c r="B19" s="27"/>
      <c r="C19" s="22" t="s">
        <v>30</v>
      </c>
      <c r="D19" s="26">
        <v>7</v>
      </c>
      <c r="E19" s="28"/>
    </row>
    <row r="20" spans="2:5" x14ac:dyDescent="0.2">
      <c r="B20" s="34" t="s">
        <v>46</v>
      </c>
      <c r="C20" s="37" t="s">
        <v>45</v>
      </c>
      <c r="D20" s="40"/>
      <c r="E20" s="28"/>
    </row>
    <row r="21" spans="2:5" x14ac:dyDescent="0.2">
      <c r="B21" s="27"/>
      <c r="C21" s="38" t="s">
        <v>27</v>
      </c>
      <c r="D21" s="25">
        <v>2</v>
      </c>
      <c r="E21" s="28"/>
    </row>
    <row r="22" spans="2:5" x14ac:dyDescent="0.2">
      <c r="B22" s="27"/>
      <c r="C22" s="39" t="s">
        <v>28</v>
      </c>
      <c r="D22" s="26">
        <v>2</v>
      </c>
      <c r="E22" s="28"/>
    </row>
    <row r="23" spans="2:5" ht="6" customHeight="1" thickBot="1" x14ac:dyDescent="0.25">
      <c r="B23" s="35"/>
      <c r="C23" s="30"/>
      <c r="D23" s="31"/>
      <c r="E23" s="32"/>
    </row>
    <row r="24" spans="2:5" ht="13.5" thickBot="1" x14ac:dyDescent="0.25"/>
    <row r="25" spans="2:5" x14ac:dyDescent="0.2">
      <c r="B25" s="43" t="s">
        <v>44</v>
      </c>
      <c r="C25" s="44"/>
      <c r="D25" s="45"/>
      <c r="E25" s="46"/>
    </row>
    <row r="26" spans="2:5" x14ac:dyDescent="0.2">
      <c r="B26" s="27"/>
      <c r="C26" s="36" t="s">
        <v>21</v>
      </c>
      <c r="D26" s="41">
        <v>35</v>
      </c>
      <c r="E26" s="28"/>
    </row>
    <row r="27" spans="2:5" x14ac:dyDescent="0.2">
      <c r="B27" s="27"/>
      <c r="C27" s="36" t="s">
        <v>22</v>
      </c>
      <c r="D27" s="41">
        <v>38</v>
      </c>
      <c r="E27" s="28"/>
    </row>
    <row r="28" spans="2:5" ht="6.75" customHeight="1" thickBot="1" x14ac:dyDescent="0.25">
      <c r="B28" s="35"/>
      <c r="C28" s="30"/>
      <c r="D28" s="31"/>
      <c r="E28" s="32"/>
    </row>
    <row r="29" spans="2:5" ht="13.5" thickBot="1" x14ac:dyDescent="0.25"/>
    <row r="30" spans="2:5" x14ac:dyDescent="0.2">
      <c r="B30" s="43" t="s">
        <v>42</v>
      </c>
      <c r="C30" s="44"/>
      <c r="D30" s="45"/>
      <c r="E30" s="46"/>
    </row>
    <row r="31" spans="2:5" ht="13.5" thickBot="1" x14ac:dyDescent="0.25">
      <c r="B31" s="35"/>
      <c r="C31" s="49" t="s">
        <v>43</v>
      </c>
      <c r="D31" s="31"/>
      <c r="E31" s="32"/>
    </row>
    <row r="32" spans="2:5" ht="13.5" thickBot="1" x14ac:dyDescent="0.25"/>
    <row r="33" spans="2:5" x14ac:dyDescent="0.2">
      <c r="B33" s="43" t="s">
        <v>49</v>
      </c>
      <c r="C33" s="44"/>
      <c r="D33" s="45"/>
      <c r="E33" s="46"/>
    </row>
    <row r="34" spans="2:5" x14ac:dyDescent="0.2">
      <c r="B34" s="27"/>
      <c r="C34" s="23" t="s">
        <v>47</v>
      </c>
      <c r="D34" s="47" t="s">
        <v>70</v>
      </c>
      <c r="E34" s="28"/>
    </row>
    <row r="35" spans="2:5" x14ac:dyDescent="0.2">
      <c r="B35" s="27"/>
      <c r="C35" s="42" t="s">
        <v>48</v>
      </c>
      <c r="D35" s="48" t="s">
        <v>71</v>
      </c>
      <c r="E35" s="28"/>
    </row>
    <row r="36" spans="2:5" ht="13.5" thickBot="1" x14ac:dyDescent="0.25">
      <c r="B36" s="35"/>
      <c r="C36" s="30"/>
      <c r="D36" s="31"/>
      <c r="E36" s="32"/>
    </row>
    <row r="37" spans="2:5" ht="13.5" thickBot="1" x14ac:dyDescent="0.25"/>
    <row r="38" spans="2:5" x14ac:dyDescent="0.2">
      <c r="B38" s="43" t="s">
        <v>54</v>
      </c>
      <c r="C38" s="44"/>
      <c r="D38" s="59"/>
      <c r="E38" s="46"/>
    </row>
    <row r="39" spans="2:5" x14ac:dyDescent="0.2">
      <c r="B39" s="27"/>
      <c r="C39" s="58" t="s">
        <v>56</v>
      </c>
      <c r="D39" s="47" t="s">
        <v>55</v>
      </c>
      <c r="E39" s="28"/>
    </row>
    <row r="40" spans="2:5" ht="13.5" thickBot="1" x14ac:dyDescent="0.25">
      <c r="B40" s="35"/>
      <c r="C40" s="30"/>
      <c r="D40" s="31"/>
      <c r="E40" s="32"/>
    </row>
    <row r="41" spans="2:5" x14ac:dyDescent="0.2">
      <c r="B41" s="1"/>
      <c r="C41" s="1"/>
      <c r="D41" s="33"/>
      <c r="E41" s="1"/>
    </row>
  </sheetData>
  <mergeCells count="4">
    <mergeCell ref="B3:E3"/>
    <mergeCell ref="B5:E5"/>
    <mergeCell ref="B15:E15"/>
    <mergeCell ref="G3:J3"/>
  </mergeCells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655"/>
  <sheetViews>
    <sheetView workbookViewId="0"/>
  </sheetViews>
  <sheetFormatPr defaultColWidth="11.42578125" defaultRowHeight="12.75" x14ac:dyDescent="0.2"/>
  <cols>
    <col min="1" max="1" width="2.7109375" customWidth="1"/>
    <col min="2" max="2" width="17.140625" style="54" customWidth="1"/>
    <col min="3" max="3" width="35.5703125" customWidth="1"/>
  </cols>
  <sheetData>
    <row r="1" spans="1:3" ht="6.75" customHeight="1" x14ac:dyDescent="0.2"/>
    <row r="2" spans="1:3" ht="7.5" customHeight="1" x14ac:dyDescent="0.2"/>
    <row r="3" spans="1:3" s="12" customFormat="1" ht="22.5" customHeight="1" x14ac:dyDescent="0.2">
      <c r="B3" s="142" t="s">
        <v>53</v>
      </c>
      <c r="C3" s="142"/>
    </row>
    <row r="4" spans="1:3" x14ac:dyDescent="0.2">
      <c r="B4" s="24">
        <f>COUNTA(B7:B3000)</f>
        <v>38</v>
      </c>
      <c r="C4" s="50" t="s">
        <v>52</v>
      </c>
    </row>
    <row r="6" spans="1:3" s="12" customFormat="1" ht="19.5" customHeight="1" x14ac:dyDescent="0.2">
      <c r="B6" s="55" t="s">
        <v>50</v>
      </c>
      <c r="C6" s="52" t="s">
        <v>51</v>
      </c>
    </row>
    <row r="7" spans="1:3" s="12" customFormat="1" ht="22.5" customHeight="1" x14ac:dyDescent="0.2">
      <c r="A7" s="51"/>
      <c r="B7" s="57">
        <v>41870.818958333337</v>
      </c>
      <c r="C7" s="53" t="s">
        <v>85</v>
      </c>
    </row>
    <row r="8" spans="1:3" s="12" customFormat="1" ht="22.5" customHeight="1" x14ac:dyDescent="0.2">
      <c r="B8" s="57">
        <v>41870.821562500001</v>
      </c>
      <c r="C8" s="53" t="s">
        <v>86</v>
      </c>
    </row>
    <row r="9" spans="1:3" s="12" customFormat="1" ht="22.5" customHeight="1" x14ac:dyDescent="0.2">
      <c r="B9" s="57">
        <v>41870.82335648148</v>
      </c>
      <c r="C9" s="53" t="s">
        <v>85</v>
      </c>
    </row>
    <row r="10" spans="1:3" s="12" customFormat="1" ht="22.5" customHeight="1" x14ac:dyDescent="0.2">
      <c r="B10" s="57">
        <v>41870.823796296296</v>
      </c>
      <c r="C10" s="53" t="s">
        <v>86</v>
      </c>
    </row>
    <row r="11" spans="1:3" s="12" customFormat="1" ht="22.5" customHeight="1" x14ac:dyDescent="0.2">
      <c r="B11" s="57">
        <v>41953.948020833333</v>
      </c>
      <c r="C11" s="53" t="s">
        <v>85</v>
      </c>
    </row>
    <row r="12" spans="1:3" s="12" customFormat="1" ht="22.5" customHeight="1" x14ac:dyDescent="0.2">
      <c r="B12" s="57">
        <v>41953.948599537034</v>
      </c>
      <c r="C12" s="53" t="s">
        <v>85</v>
      </c>
    </row>
    <row r="13" spans="1:3" s="12" customFormat="1" ht="22.5" customHeight="1" x14ac:dyDescent="0.2">
      <c r="B13" s="57">
        <v>41953.94935185185</v>
      </c>
      <c r="C13" s="53" t="s">
        <v>85</v>
      </c>
    </row>
    <row r="14" spans="1:3" s="12" customFormat="1" ht="22.5" customHeight="1" x14ac:dyDescent="0.2">
      <c r="B14" s="57">
        <v>41953.950127314813</v>
      </c>
      <c r="C14" s="53" t="s">
        <v>85</v>
      </c>
    </row>
    <row r="15" spans="1:3" s="12" customFormat="1" ht="22.5" customHeight="1" x14ac:dyDescent="0.2">
      <c r="B15" s="57">
        <v>41953.950914351852</v>
      </c>
      <c r="C15" s="53" t="s">
        <v>85</v>
      </c>
    </row>
    <row r="16" spans="1:3" s="12" customFormat="1" ht="22.5" customHeight="1" x14ac:dyDescent="0.2">
      <c r="B16" s="57">
        <v>41953.95140046296</v>
      </c>
      <c r="C16" s="53" t="s">
        <v>85</v>
      </c>
    </row>
    <row r="17" spans="2:3" s="12" customFormat="1" ht="22.5" customHeight="1" x14ac:dyDescent="0.2">
      <c r="B17" s="57">
        <v>41953.95208333333</v>
      </c>
      <c r="C17" s="53" t="s">
        <v>85</v>
      </c>
    </row>
    <row r="18" spans="2:3" s="12" customFormat="1" ht="22.5" customHeight="1" x14ac:dyDescent="0.2">
      <c r="B18" s="57">
        <v>41953.95208333333</v>
      </c>
      <c r="C18" s="53" t="s">
        <v>85</v>
      </c>
    </row>
    <row r="19" spans="2:3" s="12" customFormat="1" ht="22.5" customHeight="1" x14ac:dyDescent="0.2">
      <c r="B19" s="57">
        <v>41953.96943287037</v>
      </c>
      <c r="C19" s="53" t="s">
        <v>85</v>
      </c>
    </row>
    <row r="20" spans="2:3" s="12" customFormat="1" ht="22.5" customHeight="1" x14ac:dyDescent="0.2">
      <c r="B20" s="57">
        <v>41953.970138888886</v>
      </c>
      <c r="C20" s="53" t="s">
        <v>85</v>
      </c>
    </row>
    <row r="21" spans="2:3" s="12" customFormat="1" ht="22.5" customHeight="1" x14ac:dyDescent="0.2">
      <c r="B21" s="57">
        <v>41953.970856481479</v>
      </c>
      <c r="C21" s="53" t="s">
        <v>85</v>
      </c>
    </row>
    <row r="22" spans="2:3" s="12" customFormat="1" ht="22.5" customHeight="1" x14ac:dyDescent="0.2">
      <c r="B22" s="57">
        <v>41953.973067129627</v>
      </c>
      <c r="C22" s="53" t="s">
        <v>85</v>
      </c>
    </row>
    <row r="23" spans="2:3" s="12" customFormat="1" ht="22.5" customHeight="1" x14ac:dyDescent="0.2">
      <c r="B23" s="57">
        <v>41953.973657407405</v>
      </c>
      <c r="C23" s="53" t="s">
        <v>85</v>
      </c>
    </row>
    <row r="24" spans="2:3" s="12" customFormat="1" ht="22.5" customHeight="1" x14ac:dyDescent="0.2">
      <c r="B24" s="57">
        <v>41953.974560185183</v>
      </c>
      <c r="C24" s="53" t="s">
        <v>85</v>
      </c>
    </row>
    <row r="25" spans="2:3" s="12" customFormat="1" ht="22.5" customHeight="1" x14ac:dyDescent="0.2">
      <c r="B25" s="57">
        <v>41953.975208333337</v>
      </c>
      <c r="C25" s="53" t="s">
        <v>85</v>
      </c>
    </row>
    <row r="26" spans="2:3" s="12" customFormat="1" ht="22.5" customHeight="1" x14ac:dyDescent="0.2">
      <c r="B26" s="57">
        <v>41953.975787037038</v>
      </c>
      <c r="C26" s="53" t="s">
        <v>85</v>
      </c>
    </row>
    <row r="27" spans="2:3" s="12" customFormat="1" ht="22.5" customHeight="1" x14ac:dyDescent="0.2">
      <c r="B27" s="57">
        <v>41953.97729166667</v>
      </c>
      <c r="C27" s="53" t="s">
        <v>85</v>
      </c>
    </row>
    <row r="28" spans="2:3" s="12" customFormat="1" ht="22.5" customHeight="1" x14ac:dyDescent="0.2">
      <c r="B28" s="57">
        <v>41953.981481481482</v>
      </c>
      <c r="C28" s="53" t="s">
        <v>85</v>
      </c>
    </row>
    <row r="29" spans="2:3" s="12" customFormat="1" ht="22.5" customHeight="1" x14ac:dyDescent="0.2">
      <c r="B29" s="57">
        <v>41953.982743055552</v>
      </c>
      <c r="C29" s="53" t="s">
        <v>85</v>
      </c>
    </row>
    <row r="30" spans="2:3" s="12" customFormat="1" ht="22.5" customHeight="1" x14ac:dyDescent="0.2">
      <c r="B30" s="57">
        <v>41953.984710648147</v>
      </c>
      <c r="C30" s="53" t="s">
        <v>85</v>
      </c>
    </row>
    <row r="31" spans="2:3" s="12" customFormat="1" ht="22.5" customHeight="1" x14ac:dyDescent="0.2">
      <c r="B31" s="57">
        <v>41953.986180555556</v>
      </c>
      <c r="C31" s="53" t="s">
        <v>85</v>
      </c>
    </row>
    <row r="32" spans="2:3" s="12" customFormat="1" ht="22.5" customHeight="1" x14ac:dyDescent="0.2">
      <c r="B32" s="57">
        <v>41953.987500000003</v>
      </c>
      <c r="C32" s="53" t="s">
        <v>85</v>
      </c>
    </row>
    <row r="33" spans="2:3" s="12" customFormat="1" ht="22.5" customHeight="1" x14ac:dyDescent="0.2">
      <c r="B33" s="57">
        <v>41953.988182870373</v>
      </c>
      <c r="C33" s="53" t="s">
        <v>85</v>
      </c>
    </row>
    <row r="34" spans="2:3" s="12" customFormat="1" ht="22.5" customHeight="1" x14ac:dyDescent="0.2">
      <c r="B34" s="57">
        <v>41953.988912037035</v>
      </c>
      <c r="C34" s="53" t="s">
        <v>85</v>
      </c>
    </row>
    <row r="35" spans="2:3" s="12" customFormat="1" ht="22.5" customHeight="1" x14ac:dyDescent="0.2">
      <c r="B35" s="57">
        <v>41953.991041666668</v>
      </c>
      <c r="C35" s="53" t="s">
        <v>85</v>
      </c>
    </row>
    <row r="36" spans="2:3" s="12" customFormat="1" ht="22.5" customHeight="1" x14ac:dyDescent="0.2">
      <c r="B36" s="57">
        <v>41953.993842592594</v>
      </c>
      <c r="C36" s="53" t="s">
        <v>85</v>
      </c>
    </row>
    <row r="37" spans="2:3" s="12" customFormat="1" ht="22.5" customHeight="1" x14ac:dyDescent="0.2">
      <c r="B37" s="57">
        <v>41953.994537037041</v>
      </c>
      <c r="C37" s="53" t="s">
        <v>85</v>
      </c>
    </row>
    <row r="38" spans="2:3" s="12" customFormat="1" ht="22.5" customHeight="1" x14ac:dyDescent="0.2">
      <c r="B38" s="57">
        <v>41953.99591435185</v>
      </c>
      <c r="C38" s="53" t="s">
        <v>85</v>
      </c>
    </row>
    <row r="39" spans="2:3" s="12" customFormat="1" ht="22.5" customHeight="1" x14ac:dyDescent="0.2">
      <c r="B39" s="57">
        <v>41953.99790509259</v>
      </c>
      <c r="C39" s="53" t="s">
        <v>85</v>
      </c>
    </row>
    <row r="40" spans="2:3" s="12" customFormat="1" ht="22.5" customHeight="1" x14ac:dyDescent="0.2">
      <c r="B40" s="57">
        <v>41953.998611111114</v>
      </c>
      <c r="C40" s="53" t="s">
        <v>85</v>
      </c>
    </row>
    <row r="41" spans="2:3" s="12" customFormat="1" ht="22.5" customHeight="1" x14ac:dyDescent="0.2">
      <c r="B41" s="57">
        <v>41955.145752314813</v>
      </c>
      <c r="C41" s="53" t="s">
        <v>85</v>
      </c>
    </row>
    <row r="42" spans="2:3" s="12" customFormat="1" ht="22.5" customHeight="1" x14ac:dyDescent="0.2">
      <c r="B42" s="57">
        <v>41955.274976851855</v>
      </c>
      <c r="C42" s="53" t="s">
        <v>91</v>
      </c>
    </row>
    <row r="43" spans="2:3" s="12" customFormat="1" ht="22.5" customHeight="1" x14ac:dyDescent="0.2">
      <c r="B43" s="57">
        <v>41955.275659722225</v>
      </c>
      <c r="C43" s="53" t="s">
        <v>91</v>
      </c>
    </row>
    <row r="44" spans="2:3" s="12" customFormat="1" ht="22.5" customHeight="1" x14ac:dyDescent="0.2">
      <c r="B44" s="57">
        <v>41955.276365740741</v>
      </c>
      <c r="C44" s="53" t="s">
        <v>91</v>
      </c>
    </row>
    <row r="45" spans="2:3" s="12" customFormat="1" ht="22.5" customHeight="1" x14ac:dyDescent="0.2">
      <c r="B45" s="57"/>
      <c r="C45" s="53"/>
    </row>
    <row r="46" spans="2:3" s="12" customFormat="1" ht="22.5" customHeight="1" x14ac:dyDescent="0.2">
      <c r="B46" s="56"/>
      <c r="C46" s="53"/>
    </row>
    <row r="47" spans="2:3" s="12" customFormat="1" ht="22.5" customHeight="1" x14ac:dyDescent="0.2">
      <c r="B47" s="56"/>
      <c r="C47" s="53"/>
    </row>
    <row r="48" spans="2:3" s="12" customFormat="1" ht="22.5" customHeight="1" x14ac:dyDescent="0.2">
      <c r="B48" s="56"/>
      <c r="C48" s="53"/>
    </row>
    <row r="49" spans="2:3" s="12" customFormat="1" ht="22.5" customHeight="1" x14ac:dyDescent="0.2">
      <c r="B49" s="56"/>
      <c r="C49" s="53"/>
    </row>
    <row r="50" spans="2:3" s="12" customFormat="1" ht="22.5" customHeight="1" x14ac:dyDescent="0.2">
      <c r="B50" s="56"/>
      <c r="C50" s="53"/>
    </row>
    <row r="51" spans="2:3" s="12" customFormat="1" ht="22.5" customHeight="1" x14ac:dyDescent="0.2">
      <c r="B51" s="56"/>
      <c r="C51" s="53"/>
    </row>
    <row r="52" spans="2:3" s="12" customFormat="1" ht="22.5" customHeight="1" x14ac:dyDescent="0.2">
      <c r="B52" s="56"/>
      <c r="C52" s="53"/>
    </row>
    <row r="53" spans="2:3" s="12" customFormat="1" ht="22.5" customHeight="1" x14ac:dyDescent="0.2">
      <c r="B53" s="56"/>
      <c r="C53" s="53"/>
    </row>
    <row r="54" spans="2:3" s="12" customFormat="1" ht="22.5" customHeight="1" x14ac:dyDescent="0.2">
      <c r="B54" s="56"/>
      <c r="C54" s="53"/>
    </row>
    <row r="55" spans="2:3" s="12" customFormat="1" ht="22.5" customHeight="1" x14ac:dyDescent="0.2">
      <c r="B55" s="56"/>
      <c r="C55" s="53"/>
    </row>
    <row r="56" spans="2:3" s="12" customFormat="1" ht="22.5" customHeight="1" x14ac:dyDescent="0.2">
      <c r="B56" s="56"/>
      <c r="C56" s="53"/>
    </row>
    <row r="57" spans="2:3" s="12" customFormat="1" ht="22.5" customHeight="1" x14ac:dyDescent="0.2">
      <c r="B57" s="56"/>
      <c r="C57" s="53"/>
    </row>
    <row r="58" spans="2:3" s="12" customFormat="1" ht="22.5" customHeight="1" x14ac:dyDescent="0.2">
      <c r="B58" s="56"/>
      <c r="C58" s="53"/>
    </row>
    <row r="59" spans="2:3" s="12" customFormat="1" ht="22.5" customHeight="1" x14ac:dyDescent="0.2">
      <c r="B59" s="56"/>
      <c r="C59" s="53"/>
    </row>
    <row r="60" spans="2:3" s="12" customFormat="1" ht="22.5" customHeight="1" x14ac:dyDescent="0.2">
      <c r="B60" s="56"/>
      <c r="C60" s="53"/>
    </row>
    <row r="61" spans="2:3" s="12" customFormat="1" ht="22.5" customHeight="1" x14ac:dyDescent="0.2">
      <c r="B61" s="56"/>
      <c r="C61" s="53"/>
    </row>
    <row r="62" spans="2:3" s="12" customFormat="1" ht="22.5" customHeight="1" x14ac:dyDescent="0.2">
      <c r="B62" s="56"/>
      <c r="C62" s="53"/>
    </row>
    <row r="63" spans="2:3" s="12" customFormat="1" ht="22.5" customHeight="1" x14ac:dyDescent="0.2">
      <c r="B63" s="56"/>
      <c r="C63" s="53"/>
    </row>
    <row r="64" spans="2:3" s="12" customFormat="1" ht="22.5" customHeight="1" x14ac:dyDescent="0.2">
      <c r="B64" s="56"/>
      <c r="C64" s="53"/>
    </row>
    <row r="65" spans="2:3" s="12" customFormat="1" ht="22.5" customHeight="1" x14ac:dyDescent="0.2">
      <c r="B65" s="56"/>
      <c r="C65" s="53"/>
    </row>
    <row r="66" spans="2:3" s="12" customFormat="1" ht="22.5" customHeight="1" x14ac:dyDescent="0.2">
      <c r="B66" s="56"/>
      <c r="C66" s="53"/>
    </row>
    <row r="67" spans="2:3" s="12" customFormat="1" ht="22.5" customHeight="1" x14ac:dyDescent="0.2">
      <c r="B67" s="56"/>
      <c r="C67" s="53"/>
    </row>
    <row r="68" spans="2:3" s="12" customFormat="1" ht="22.5" customHeight="1" x14ac:dyDescent="0.2">
      <c r="B68" s="56"/>
      <c r="C68" s="53"/>
    </row>
    <row r="69" spans="2:3" s="12" customFormat="1" ht="22.5" customHeight="1" x14ac:dyDescent="0.2">
      <c r="B69" s="56"/>
      <c r="C69" s="53"/>
    </row>
    <row r="70" spans="2:3" s="12" customFormat="1" ht="22.5" customHeight="1" x14ac:dyDescent="0.2">
      <c r="B70" s="56"/>
      <c r="C70" s="53"/>
    </row>
    <row r="71" spans="2:3" s="12" customFormat="1" ht="22.5" customHeight="1" x14ac:dyDescent="0.2">
      <c r="B71" s="56"/>
      <c r="C71" s="53"/>
    </row>
    <row r="72" spans="2:3" s="12" customFormat="1" ht="22.5" customHeight="1" x14ac:dyDescent="0.2">
      <c r="B72" s="56"/>
      <c r="C72" s="53"/>
    </row>
    <row r="73" spans="2:3" s="12" customFormat="1" ht="22.5" customHeight="1" x14ac:dyDescent="0.2">
      <c r="B73" s="56"/>
      <c r="C73" s="53"/>
    </row>
    <row r="74" spans="2:3" s="12" customFormat="1" ht="22.5" customHeight="1" x14ac:dyDescent="0.2">
      <c r="B74" s="56"/>
      <c r="C74" s="53"/>
    </row>
    <row r="75" spans="2:3" s="12" customFormat="1" ht="22.5" customHeight="1" x14ac:dyDescent="0.2">
      <c r="B75" s="56"/>
      <c r="C75" s="53"/>
    </row>
    <row r="76" spans="2:3" s="12" customFormat="1" ht="22.5" customHeight="1" x14ac:dyDescent="0.2">
      <c r="B76" s="56"/>
      <c r="C76" s="53"/>
    </row>
    <row r="77" spans="2:3" s="12" customFormat="1" ht="22.5" customHeight="1" x14ac:dyDescent="0.2">
      <c r="B77" s="56"/>
      <c r="C77" s="53"/>
    </row>
    <row r="78" spans="2:3" s="12" customFormat="1" ht="22.5" customHeight="1" x14ac:dyDescent="0.2">
      <c r="B78" s="56"/>
      <c r="C78" s="53"/>
    </row>
    <row r="79" spans="2:3" s="12" customFormat="1" ht="22.5" customHeight="1" x14ac:dyDescent="0.2">
      <c r="B79" s="56"/>
      <c r="C79" s="53"/>
    </row>
    <row r="80" spans="2:3" s="12" customFormat="1" ht="22.5" customHeight="1" x14ac:dyDescent="0.2">
      <c r="B80" s="56"/>
      <c r="C80" s="53"/>
    </row>
    <row r="81" spans="2:3" s="12" customFormat="1" ht="22.5" customHeight="1" x14ac:dyDescent="0.2">
      <c r="B81" s="56"/>
      <c r="C81" s="53"/>
    </row>
    <row r="82" spans="2:3" s="12" customFormat="1" ht="22.5" customHeight="1" x14ac:dyDescent="0.2">
      <c r="B82" s="56"/>
      <c r="C82" s="53"/>
    </row>
    <row r="83" spans="2:3" s="12" customFormat="1" ht="22.5" customHeight="1" x14ac:dyDescent="0.2">
      <c r="B83" s="56"/>
      <c r="C83" s="53"/>
    </row>
    <row r="84" spans="2:3" s="12" customFormat="1" ht="22.5" customHeight="1" x14ac:dyDescent="0.2">
      <c r="B84" s="56"/>
      <c r="C84" s="53"/>
    </row>
    <row r="85" spans="2:3" s="12" customFormat="1" ht="22.5" customHeight="1" x14ac:dyDescent="0.2">
      <c r="B85" s="56"/>
      <c r="C85" s="53"/>
    </row>
    <row r="86" spans="2:3" s="12" customFormat="1" ht="22.5" customHeight="1" x14ac:dyDescent="0.2">
      <c r="B86" s="56"/>
      <c r="C86" s="53"/>
    </row>
    <row r="87" spans="2:3" s="12" customFormat="1" ht="22.5" customHeight="1" x14ac:dyDescent="0.2">
      <c r="B87" s="56"/>
      <c r="C87" s="53"/>
    </row>
    <row r="88" spans="2:3" s="12" customFormat="1" ht="22.5" customHeight="1" x14ac:dyDescent="0.2">
      <c r="B88" s="56"/>
      <c r="C88" s="53"/>
    </row>
    <row r="89" spans="2:3" s="12" customFormat="1" ht="22.5" customHeight="1" x14ac:dyDescent="0.2">
      <c r="B89" s="56"/>
      <c r="C89" s="53"/>
    </row>
    <row r="90" spans="2:3" s="12" customFormat="1" ht="22.5" customHeight="1" x14ac:dyDescent="0.2">
      <c r="B90" s="56"/>
      <c r="C90" s="53"/>
    </row>
    <row r="91" spans="2:3" s="12" customFormat="1" ht="22.5" customHeight="1" x14ac:dyDescent="0.2">
      <c r="B91" s="56"/>
      <c r="C91" s="53"/>
    </row>
    <row r="92" spans="2:3" s="12" customFormat="1" ht="22.5" customHeight="1" x14ac:dyDescent="0.2">
      <c r="B92" s="56"/>
      <c r="C92" s="53"/>
    </row>
    <row r="93" spans="2:3" s="12" customFormat="1" ht="22.5" customHeight="1" x14ac:dyDescent="0.2">
      <c r="B93" s="56"/>
      <c r="C93" s="53"/>
    </row>
    <row r="94" spans="2:3" s="12" customFormat="1" ht="22.5" customHeight="1" x14ac:dyDescent="0.2">
      <c r="B94" s="56"/>
      <c r="C94" s="53"/>
    </row>
    <row r="95" spans="2:3" s="12" customFormat="1" ht="22.5" customHeight="1" x14ac:dyDescent="0.2">
      <c r="B95" s="56"/>
      <c r="C95" s="53"/>
    </row>
    <row r="96" spans="2:3" s="12" customFormat="1" ht="22.5" customHeight="1" x14ac:dyDescent="0.2">
      <c r="B96" s="56"/>
      <c r="C96" s="53"/>
    </row>
    <row r="97" spans="2:3" s="12" customFormat="1" ht="22.5" customHeight="1" x14ac:dyDescent="0.2">
      <c r="B97" s="56"/>
      <c r="C97" s="53"/>
    </row>
    <row r="98" spans="2:3" s="12" customFormat="1" ht="22.5" customHeight="1" x14ac:dyDescent="0.2">
      <c r="B98" s="56"/>
      <c r="C98" s="53"/>
    </row>
    <row r="99" spans="2:3" s="12" customFormat="1" ht="22.5" customHeight="1" x14ac:dyDescent="0.2">
      <c r="B99" s="56"/>
      <c r="C99" s="53"/>
    </row>
    <row r="100" spans="2:3" s="12" customFormat="1" ht="22.5" customHeight="1" x14ac:dyDescent="0.2">
      <c r="B100" s="56"/>
      <c r="C100" s="53"/>
    </row>
    <row r="101" spans="2:3" s="12" customFormat="1" ht="22.5" customHeight="1" x14ac:dyDescent="0.2">
      <c r="B101" s="56"/>
      <c r="C101" s="53"/>
    </row>
    <row r="102" spans="2:3" s="12" customFormat="1" ht="22.5" customHeight="1" x14ac:dyDescent="0.2">
      <c r="B102" s="56"/>
      <c r="C102" s="53"/>
    </row>
    <row r="103" spans="2:3" s="12" customFormat="1" ht="22.5" customHeight="1" x14ac:dyDescent="0.2">
      <c r="B103" s="56"/>
      <c r="C103" s="53"/>
    </row>
    <row r="104" spans="2:3" s="12" customFormat="1" ht="22.5" customHeight="1" x14ac:dyDescent="0.2">
      <c r="B104" s="56"/>
      <c r="C104" s="53"/>
    </row>
    <row r="105" spans="2:3" s="12" customFormat="1" ht="22.5" customHeight="1" x14ac:dyDescent="0.2">
      <c r="B105" s="56"/>
      <c r="C105" s="53"/>
    </row>
    <row r="106" spans="2:3" s="12" customFormat="1" ht="22.5" customHeight="1" x14ac:dyDescent="0.2">
      <c r="B106" s="56"/>
      <c r="C106" s="53"/>
    </row>
    <row r="107" spans="2:3" s="12" customFormat="1" ht="22.5" customHeight="1" x14ac:dyDescent="0.2">
      <c r="B107" s="56"/>
      <c r="C107" s="53"/>
    </row>
    <row r="108" spans="2:3" s="12" customFormat="1" ht="22.5" customHeight="1" x14ac:dyDescent="0.2">
      <c r="B108" s="56"/>
      <c r="C108" s="53"/>
    </row>
    <row r="109" spans="2:3" s="12" customFormat="1" ht="22.5" customHeight="1" x14ac:dyDescent="0.2">
      <c r="B109" s="56"/>
      <c r="C109" s="53"/>
    </row>
    <row r="110" spans="2:3" s="12" customFormat="1" ht="22.5" customHeight="1" x14ac:dyDescent="0.2">
      <c r="B110" s="56"/>
      <c r="C110" s="53"/>
    </row>
    <row r="111" spans="2:3" s="12" customFormat="1" ht="22.5" customHeight="1" x14ac:dyDescent="0.2">
      <c r="B111" s="56"/>
      <c r="C111" s="53"/>
    </row>
    <row r="112" spans="2:3" s="12" customFormat="1" ht="22.5" customHeight="1" x14ac:dyDescent="0.2">
      <c r="B112" s="56"/>
      <c r="C112" s="53"/>
    </row>
    <row r="113" spans="2:3" s="12" customFormat="1" ht="22.5" customHeight="1" x14ac:dyDescent="0.2">
      <c r="B113" s="56"/>
      <c r="C113" s="53"/>
    </row>
    <row r="114" spans="2:3" s="12" customFormat="1" ht="22.5" customHeight="1" x14ac:dyDescent="0.2">
      <c r="B114" s="56"/>
      <c r="C114" s="53"/>
    </row>
    <row r="115" spans="2:3" s="12" customFormat="1" ht="22.5" customHeight="1" x14ac:dyDescent="0.2">
      <c r="B115" s="56"/>
      <c r="C115" s="53"/>
    </row>
    <row r="116" spans="2:3" s="12" customFormat="1" ht="22.5" customHeight="1" x14ac:dyDescent="0.2">
      <c r="B116" s="56"/>
      <c r="C116" s="53"/>
    </row>
    <row r="117" spans="2:3" s="12" customFormat="1" ht="22.5" customHeight="1" x14ac:dyDescent="0.2">
      <c r="B117" s="56"/>
      <c r="C117" s="53"/>
    </row>
    <row r="118" spans="2:3" s="12" customFormat="1" ht="22.5" customHeight="1" x14ac:dyDescent="0.2">
      <c r="B118" s="56"/>
      <c r="C118" s="53"/>
    </row>
    <row r="119" spans="2:3" s="12" customFormat="1" ht="22.5" customHeight="1" x14ac:dyDescent="0.2">
      <c r="B119" s="56"/>
      <c r="C119" s="53"/>
    </row>
    <row r="120" spans="2:3" s="12" customFormat="1" ht="22.5" customHeight="1" x14ac:dyDescent="0.2">
      <c r="B120" s="56"/>
      <c r="C120" s="53"/>
    </row>
    <row r="121" spans="2:3" s="12" customFormat="1" ht="22.5" customHeight="1" x14ac:dyDescent="0.2">
      <c r="B121" s="56"/>
      <c r="C121" s="53"/>
    </row>
    <row r="122" spans="2:3" s="12" customFormat="1" ht="22.5" customHeight="1" x14ac:dyDescent="0.2">
      <c r="B122" s="56"/>
      <c r="C122" s="53"/>
    </row>
    <row r="123" spans="2:3" s="12" customFormat="1" ht="22.5" customHeight="1" x14ac:dyDescent="0.2">
      <c r="B123" s="56"/>
      <c r="C123" s="53"/>
    </row>
    <row r="124" spans="2:3" s="12" customFormat="1" ht="22.5" customHeight="1" x14ac:dyDescent="0.2">
      <c r="B124" s="56"/>
      <c r="C124" s="53"/>
    </row>
    <row r="125" spans="2:3" s="12" customFormat="1" ht="22.5" customHeight="1" x14ac:dyDescent="0.2">
      <c r="B125" s="56"/>
      <c r="C125" s="53"/>
    </row>
    <row r="126" spans="2:3" s="12" customFormat="1" ht="22.5" customHeight="1" x14ac:dyDescent="0.2">
      <c r="B126" s="56"/>
      <c r="C126" s="53"/>
    </row>
    <row r="127" spans="2:3" s="12" customFormat="1" ht="22.5" customHeight="1" x14ac:dyDescent="0.2">
      <c r="B127" s="56"/>
      <c r="C127" s="53"/>
    </row>
    <row r="128" spans="2:3" s="12" customFormat="1" ht="22.5" customHeight="1" x14ac:dyDescent="0.2">
      <c r="B128" s="56"/>
      <c r="C128" s="53"/>
    </row>
    <row r="129" spans="2:3" s="12" customFormat="1" ht="22.5" customHeight="1" x14ac:dyDescent="0.2">
      <c r="B129" s="56"/>
      <c r="C129" s="53"/>
    </row>
    <row r="130" spans="2:3" s="12" customFormat="1" ht="22.5" customHeight="1" x14ac:dyDescent="0.2">
      <c r="B130" s="56"/>
      <c r="C130" s="53"/>
    </row>
    <row r="131" spans="2:3" s="12" customFormat="1" ht="22.5" customHeight="1" x14ac:dyDescent="0.2">
      <c r="B131" s="56"/>
      <c r="C131" s="53"/>
    </row>
    <row r="132" spans="2:3" s="12" customFormat="1" ht="22.5" customHeight="1" x14ac:dyDescent="0.2">
      <c r="B132" s="56"/>
      <c r="C132" s="53"/>
    </row>
    <row r="133" spans="2:3" s="12" customFormat="1" ht="22.5" customHeight="1" x14ac:dyDescent="0.2">
      <c r="B133" s="56"/>
      <c r="C133" s="53"/>
    </row>
    <row r="134" spans="2:3" s="12" customFormat="1" ht="22.5" customHeight="1" x14ac:dyDescent="0.2">
      <c r="B134" s="56"/>
      <c r="C134" s="53"/>
    </row>
    <row r="135" spans="2:3" s="12" customFormat="1" ht="22.5" customHeight="1" x14ac:dyDescent="0.2">
      <c r="B135" s="56"/>
      <c r="C135" s="53"/>
    </row>
    <row r="136" spans="2:3" s="12" customFormat="1" ht="22.5" customHeight="1" x14ac:dyDescent="0.2">
      <c r="B136" s="56"/>
      <c r="C136" s="53"/>
    </row>
    <row r="137" spans="2:3" s="12" customFormat="1" ht="22.5" customHeight="1" x14ac:dyDescent="0.2">
      <c r="B137" s="56"/>
      <c r="C137" s="53"/>
    </row>
    <row r="138" spans="2:3" s="12" customFormat="1" ht="22.5" customHeight="1" x14ac:dyDescent="0.2">
      <c r="B138" s="56"/>
      <c r="C138" s="53"/>
    </row>
    <row r="139" spans="2:3" s="12" customFormat="1" ht="22.5" customHeight="1" x14ac:dyDescent="0.2">
      <c r="B139" s="56"/>
      <c r="C139" s="53"/>
    </row>
    <row r="140" spans="2:3" s="12" customFormat="1" ht="22.5" customHeight="1" x14ac:dyDescent="0.2">
      <c r="B140" s="56"/>
      <c r="C140" s="53"/>
    </row>
    <row r="141" spans="2:3" s="12" customFormat="1" ht="22.5" customHeight="1" x14ac:dyDescent="0.2">
      <c r="B141" s="56"/>
      <c r="C141" s="53"/>
    </row>
    <row r="142" spans="2:3" s="12" customFormat="1" ht="22.5" customHeight="1" x14ac:dyDescent="0.2">
      <c r="B142" s="56"/>
      <c r="C142" s="53"/>
    </row>
    <row r="143" spans="2:3" s="12" customFormat="1" ht="22.5" customHeight="1" x14ac:dyDescent="0.2">
      <c r="B143" s="56"/>
      <c r="C143" s="53"/>
    </row>
    <row r="144" spans="2:3" s="12" customFormat="1" ht="22.5" customHeight="1" x14ac:dyDescent="0.2">
      <c r="B144" s="56"/>
      <c r="C144" s="53"/>
    </row>
    <row r="145" spans="2:3" s="12" customFormat="1" ht="22.5" customHeight="1" x14ac:dyDescent="0.2">
      <c r="B145" s="56"/>
      <c r="C145" s="53"/>
    </row>
    <row r="146" spans="2:3" s="12" customFormat="1" ht="22.5" customHeight="1" x14ac:dyDescent="0.2">
      <c r="B146" s="56"/>
      <c r="C146" s="53"/>
    </row>
    <row r="147" spans="2:3" s="12" customFormat="1" ht="22.5" customHeight="1" x14ac:dyDescent="0.2">
      <c r="B147" s="56"/>
      <c r="C147" s="53"/>
    </row>
    <row r="148" spans="2:3" s="12" customFormat="1" ht="22.5" customHeight="1" x14ac:dyDescent="0.2">
      <c r="B148" s="56"/>
      <c r="C148" s="53"/>
    </row>
    <row r="149" spans="2:3" s="12" customFormat="1" ht="22.5" customHeight="1" x14ac:dyDescent="0.2">
      <c r="B149" s="56"/>
      <c r="C149" s="53"/>
    </row>
    <row r="150" spans="2:3" s="12" customFormat="1" ht="22.5" customHeight="1" x14ac:dyDescent="0.2">
      <c r="B150" s="56"/>
      <c r="C150" s="53"/>
    </row>
    <row r="151" spans="2:3" s="12" customFormat="1" ht="22.5" customHeight="1" x14ac:dyDescent="0.2">
      <c r="B151" s="56"/>
      <c r="C151" s="53"/>
    </row>
    <row r="152" spans="2:3" s="12" customFormat="1" ht="22.5" customHeight="1" x14ac:dyDescent="0.2">
      <c r="B152" s="56"/>
      <c r="C152" s="53"/>
    </row>
    <row r="153" spans="2:3" s="12" customFormat="1" ht="22.5" customHeight="1" x14ac:dyDescent="0.2">
      <c r="B153" s="56"/>
      <c r="C153" s="53"/>
    </row>
    <row r="154" spans="2:3" s="12" customFormat="1" ht="22.5" customHeight="1" x14ac:dyDescent="0.2">
      <c r="B154" s="56"/>
      <c r="C154" s="53"/>
    </row>
    <row r="155" spans="2:3" s="12" customFormat="1" ht="22.5" customHeight="1" x14ac:dyDescent="0.2">
      <c r="B155" s="56"/>
      <c r="C155" s="53"/>
    </row>
    <row r="156" spans="2:3" s="12" customFormat="1" ht="22.5" customHeight="1" x14ac:dyDescent="0.2">
      <c r="B156" s="56"/>
      <c r="C156" s="53"/>
    </row>
    <row r="157" spans="2:3" s="12" customFormat="1" ht="22.5" customHeight="1" x14ac:dyDescent="0.2">
      <c r="B157" s="56"/>
      <c r="C157" s="53"/>
    </row>
    <row r="158" spans="2:3" s="12" customFormat="1" ht="22.5" customHeight="1" x14ac:dyDescent="0.2">
      <c r="B158" s="56"/>
      <c r="C158" s="53"/>
    </row>
    <row r="159" spans="2:3" s="12" customFormat="1" ht="22.5" customHeight="1" x14ac:dyDescent="0.2">
      <c r="B159" s="56"/>
      <c r="C159" s="53"/>
    </row>
    <row r="160" spans="2:3" s="12" customFormat="1" ht="22.5" customHeight="1" x14ac:dyDescent="0.2">
      <c r="B160" s="56"/>
      <c r="C160" s="53"/>
    </row>
    <row r="161" spans="2:3" s="12" customFormat="1" ht="22.5" customHeight="1" x14ac:dyDescent="0.2">
      <c r="B161" s="56"/>
      <c r="C161" s="53"/>
    </row>
    <row r="162" spans="2:3" s="12" customFormat="1" ht="22.5" customHeight="1" x14ac:dyDescent="0.2">
      <c r="B162" s="56"/>
      <c r="C162" s="53"/>
    </row>
    <row r="163" spans="2:3" s="12" customFormat="1" ht="22.5" customHeight="1" x14ac:dyDescent="0.2">
      <c r="B163" s="56"/>
      <c r="C163" s="53"/>
    </row>
    <row r="164" spans="2:3" s="12" customFormat="1" ht="22.5" customHeight="1" x14ac:dyDescent="0.2">
      <c r="B164" s="56"/>
      <c r="C164" s="53"/>
    </row>
    <row r="165" spans="2:3" s="12" customFormat="1" ht="22.5" customHeight="1" x14ac:dyDescent="0.2">
      <c r="B165" s="56"/>
      <c r="C165" s="53"/>
    </row>
    <row r="166" spans="2:3" s="12" customFormat="1" ht="22.5" customHeight="1" x14ac:dyDescent="0.2">
      <c r="B166" s="56"/>
      <c r="C166" s="53"/>
    </row>
    <row r="167" spans="2:3" s="12" customFormat="1" ht="22.5" customHeight="1" x14ac:dyDescent="0.2">
      <c r="B167" s="56"/>
      <c r="C167" s="53"/>
    </row>
    <row r="168" spans="2:3" s="12" customFormat="1" ht="22.5" customHeight="1" x14ac:dyDescent="0.2">
      <c r="B168" s="56"/>
      <c r="C168" s="53"/>
    </row>
    <row r="169" spans="2:3" s="12" customFormat="1" ht="22.5" customHeight="1" x14ac:dyDescent="0.2">
      <c r="B169" s="56"/>
      <c r="C169" s="53"/>
    </row>
    <row r="170" spans="2:3" s="12" customFormat="1" ht="22.5" customHeight="1" x14ac:dyDescent="0.2">
      <c r="B170" s="56"/>
      <c r="C170" s="53"/>
    </row>
    <row r="171" spans="2:3" s="12" customFormat="1" ht="22.5" customHeight="1" x14ac:dyDescent="0.2">
      <c r="B171" s="56"/>
      <c r="C171" s="53"/>
    </row>
    <row r="172" spans="2:3" s="12" customFormat="1" ht="22.5" customHeight="1" x14ac:dyDescent="0.2">
      <c r="B172" s="56"/>
      <c r="C172" s="53"/>
    </row>
    <row r="173" spans="2:3" s="12" customFormat="1" ht="22.5" customHeight="1" x14ac:dyDescent="0.2">
      <c r="B173" s="56"/>
      <c r="C173" s="53"/>
    </row>
    <row r="174" spans="2:3" s="12" customFormat="1" ht="22.5" customHeight="1" x14ac:dyDescent="0.2">
      <c r="B174" s="56"/>
      <c r="C174" s="53"/>
    </row>
    <row r="175" spans="2:3" s="12" customFormat="1" ht="22.5" customHeight="1" x14ac:dyDescent="0.2">
      <c r="B175" s="56"/>
      <c r="C175" s="53"/>
    </row>
    <row r="176" spans="2:3" s="12" customFormat="1" ht="22.5" customHeight="1" x14ac:dyDescent="0.2">
      <c r="B176" s="56"/>
      <c r="C176" s="53"/>
    </row>
    <row r="177" spans="2:3" s="12" customFormat="1" ht="22.5" customHeight="1" x14ac:dyDescent="0.2">
      <c r="B177" s="56"/>
      <c r="C177" s="53"/>
    </row>
    <row r="178" spans="2:3" s="12" customFormat="1" ht="22.5" customHeight="1" x14ac:dyDescent="0.2">
      <c r="B178" s="56"/>
      <c r="C178" s="53"/>
    </row>
    <row r="179" spans="2:3" s="12" customFormat="1" ht="22.5" customHeight="1" x14ac:dyDescent="0.2">
      <c r="B179" s="56"/>
      <c r="C179" s="53"/>
    </row>
    <row r="180" spans="2:3" s="12" customFormat="1" ht="22.5" customHeight="1" x14ac:dyDescent="0.2">
      <c r="B180" s="56"/>
      <c r="C180" s="53"/>
    </row>
    <row r="181" spans="2:3" s="12" customFormat="1" ht="22.5" customHeight="1" x14ac:dyDescent="0.2">
      <c r="B181" s="56"/>
      <c r="C181" s="53"/>
    </row>
    <row r="182" spans="2:3" s="12" customFormat="1" ht="22.5" customHeight="1" x14ac:dyDescent="0.2">
      <c r="B182" s="56"/>
      <c r="C182" s="53"/>
    </row>
    <row r="183" spans="2:3" s="12" customFormat="1" ht="22.5" customHeight="1" x14ac:dyDescent="0.2">
      <c r="B183" s="56"/>
      <c r="C183" s="53"/>
    </row>
    <row r="184" spans="2:3" s="12" customFormat="1" ht="22.5" customHeight="1" x14ac:dyDescent="0.2">
      <c r="B184" s="56"/>
      <c r="C184" s="53"/>
    </row>
    <row r="185" spans="2:3" s="12" customFormat="1" ht="22.5" customHeight="1" x14ac:dyDescent="0.2">
      <c r="B185" s="56"/>
      <c r="C185" s="53"/>
    </row>
    <row r="186" spans="2:3" s="12" customFormat="1" ht="22.5" customHeight="1" x14ac:dyDescent="0.2">
      <c r="B186" s="56"/>
      <c r="C186" s="53"/>
    </row>
    <row r="187" spans="2:3" s="12" customFormat="1" ht="22.5" customHeight="1" x14ac:dyDescent="0.2">
      <c r="B187" s="56"/>
      <c r="C187" s="53"/>
    </row>
    <row r="188" spans="2:3" s="12" customFormat="1" ht="22.5" customHeight="1" x14ac:dyDescent="0.2">
      <c r="B188" s="56"/>
      <c r="C188" s="53"/>
    </row>
    <row r="189" spans="2:3" s="12" customFormat="1" ht="22.5" customHeight="1" x14ac:dyDescent="0.2">
      <c r="B189" s="56"/>
      <c r="C189" s="53"/>
    </row>
    <row r="190" spans="2:3" s="12" customFormat="1" ht="22.5" customHeight="1" x14ac:dyDescent="0.2">
      <c r="B190" s="56"/>
      <c r="C190" s="53"/>
    </row>
    <row r="191" spans="2:3" s="12" customFormat="1" ht="22.5" customHeight="1" x14ac:dyDescent="0.2">
      <c r="B191" s="56"/>
      <c r="C191" s="53"/>
    </row>
    <row r="192" spans="2:3" s="12" customFormat="1" ht="22.5" customHeight="1" x14ac:dyDescent="0.2">
      <c r="B192" s="56"/>
      <c r="C192" s="53"/>
    </row>
    <row r="193" spans="2:3" s="12" customFormat="1" ht="22.5" customHeight="1" x14ac:dyDescent="0.2">
      <c r="B193" s="56"/>
      <c r="C193" s="53"/>
    </row>
    <row r="194" spans="2:3" s="12" customFormat="1" ht="22.5" customHeight="1" x14ac:dyDescent="0.2">
      <c r="B194" s="56"/>
      <c r="C194" s="53"/>
    </row>
    <row r="195" spans="2:3" s="12" customFormat="1" ht="22.5" customHeight="1" x14ac:dyDescent="0.2">
      <c r="B195" s="56"/>
      <c r="C195" s="53"/>
    </row>
    <row r="196" spans="2:3" s="12" customFormat="1" ht="22.5" customHeight="1" x14ac:dyDescent="0.2">
      <c r="B196" s="56"/>
      <c r="C196" s="53"/>
    </row>
    <row r="197" spans="2:3" s="12" customFormat="1" ht="22.5" customHeight="1" x14ac:dyDescent="0.2">
      <c r="B197" s="56"/>
      <c r="C197" s="53"/>
    </row>
    <row r="198" spans="2:3" s="12" customFormat="1" ht="22.5" customHeight="1" x14ac:dyDescent="0.2">
      <c r="B198" s="56"/>
      <c r="C198" s="53"/>
    </row>
    <row r="199" spans="2:3" s="12" customFormat="1" ht="22.5" customHeight="1" x14ac:dyDescent="0.2">
      <c r="B199" s="56"/>
      <c r="C199" s="53"/>
    </row>
    <row r="200" spans="2:3" s="12" customFormat="1" ht="22.5" customHeight="1" x14ac:dyDescent="0.2">
      <c r="B200" s="56"/>
      <c r="C200" s="53"/>
    </row>
    <row r="201" spans="2:3" s="12" customFormat="1" ht="22.5" customHeight="1" x14ac:dyDescent="0.2">
      <c r="B201" s="56"/>
      <c r="C201" s="53"/>
    </row>
    <row r="202" spans="2:3" s="12" customFormat="1" ht="22.5" customHeight="1" x14ac:dyDescent="0.2">
      <c r="B202" s="56"/>
      <c r="C202" s="53"/>
    </row>
    <row r="203" spans="2:3" s="12" customFormat="1" ht="22.5" customHeight="1" x14ac:dyDescent="0.2">
      <c r="B203" s="56"/>
      <c r="C203" s="53"/>
    </row>
    <row r="204" spans="2:3" s="12" customFormat="1" ht="22.5" customHeight="1" x14ac:dyDescent="0.2">
      <c r="B204" s="56"/>
      <c r="C204" s="53"/>
    </row>
    <row r="205" spans="2:3" s="12" customFormat="1" ht="22.5" customHeight="1" x14ac:dyDescent="0.2">
      <c r="B205" s="56"/>
      <c r="C205" s="53"/>
    </row>
    <row r="206" spans="2:3" s="12" customFormat="1" ht="22.5" customHeight="1" x14ac:dyDescent="0.2">
      <c r="B206" s="56"/>
      <c r="C206" s="53"/>
    </row>
    <row r="207" spans="2:3" s="12" customFormat="1" ht="22.5" customHeight="1" x14ac:dyDescent="0.2">
      <c r="B207" s="56"/>
      <c r="C207" s="53"/>
    </row>
    <row r="208" spans="2:3" s="12" customFormat="1" ht="22.5" customHeight="1" x14ac:dyDescent="0.2">
      <c r="B208" s="56"/>
      <c r="C208" s="53"/>
    </row>
    <row r="209" spans="2:3" s="12" customFormat="1" ht="22.5" customHeight="1" x14ac:dyDescent="0.2">
      <c r="B209" s="56"/>
      <c r="C209" s="53"/>
    </row>
    <row r="210" spans="2:3" s="12" customFormat="1" ht="22.5" customHeight="1" x14ac:dyDescent="0.2">
      <c r="B210" s="56"/>
      <c r="C210" s="53"/>
    </row>
    <row r="211" spans="2:3" s="12" customFormat="1" ht="22.5" customHeight="1" x14ac:dyDescent="0.2">
      <c r="B211" s="56"/>
      <c r="C211" s="53"/>
    </row>
    <row r="212" spans="2:3" s="12" customFormat="1" ht="22.5" customHeight="1" x14ac:dyDescent="0.2">
      <c r="B212" s="56"/>
      <c r="C212" s="53"/>
    </row>
    <row r="213" spans="2:3" s="12" customFormat="1" ht="22.5" customHeight="1" x14ac:dyDescent="0.2">
      <c r="B213" s="56"/>
      <c r="C213" s="53"/>
    </row>
    <row r="214" spans="2:3" s="12" customFormat="1" ht="22.5" customHeight="1" x14ac:dyDescent="0.2">
      <c r="B214" s="56"/>
      <c r="C214" s="53"/>
    </row>
    <row r="215" spans="2:3" s="12" customFormat="1" ht="22.5" customHeight="1" x14ac:dyDescent="0.2">
      <c r="B215" s="56"/>
      <c r="C215" s="53"/>
    </row>
    <row r="216" spans="2:3" s="12" customFormat="1" ht="22.5" customHeight="1" x14ac:dyDescent="0.2">
      <c r="B216" s="56"/>
      <c r="C216" s="53"/>
    </row>
    <row r="217" spans="2:3" s="12" customFormat="1" ht="22.5" customHeight="1" x14ac:dyDescent="0.2">
      <c r="B217" s="56"/>
      <c r="C217" s="53"/>
    </row>
    <row r="218" spans="2:3" s="12" customFormat="1" ht="22.5" customHeight="1" x14ac:dyDescent="0.2">
      <c r="B218" s="56"/>
      <c r="C218" s="53"/>
    </row>
    <row r="219" spans="2:3" s="12" customFormat="1" ht="22.5" customHeight="1" x14ac:dyDescent="0.2">
      <c r="B219" s="56"/>
      <c r="C219" s="53"/>
    </row>
    <row r="220" spans="2:3" s="12" customFormat="1" ht="22.5" customHeight="1" x14ac:dyDescent="0.2">
      <c r="B220" s="56"/>
      <c r="C220" s="53"/>
    </row>
    <row r="221" spans="2:3" s="12" customFormat="1" ht="22.5" customHeight="1" x14ac:dyDescent="0.2">
      <c r="B221" s="56"/>
      <c r="C221" s="53"/>
    </row>
    <row r="222" spans="2:3" s="12" customFormat="1" ht="22.5" customHeight="1" x14ac:dyDescent="0.2">
      <c r="B222" s="56"/>
      <c r="C222" s="53"/>
    </row>
    <row r="223" spans="2:3" s="12" customFormat="1" ht="22.5" customHeight="1" x14ac:dyDescent="0.2">
      <c r="B223" s="56"/>
      <c r="C223" s="53"/>
    </row>
    <row r="224" spans="2:3" s="12" customFormat="1" ht="22.5" customHeight="1" x14ac:dyDescent="0.2">
      <c r="B224" s="56"/>
      <c r="C224" s="53"/>
    </row>
    <row r="225" spans="2:3" s="12" customFormat="1" ht="22.5" customHeight="1" x14ac:dyDescent="0.2">
      <c r="B225" s="56"/>
      <c r="C225" s="53"/>
    </row>
    <row r="226" spans="2:3" s="12" customFormat="1" ht="22.5" customHeight="1" x14ac:dyDescent="0.2">
      <c r="B226" s="56"/>
      <c r="C226" s="53"/>
    </row>
    <row r="227" spans="2:3" s="12" customFormat="1" ht="22.5" customHeight="1" x14ac:dyDescent="0.2">
      <c r="B227" s="56"/>
      <c r="C227" s="53"/>
    </row>
    <row r="228" spans="2:3" s="12" customFormat="1" ht="22.5" customHeight="1" x14ac:dyDescent="0.2">
      <c r="B228" s="56"/>
      <c r="C228" s="53"/>
    </row>
    <row r="229" spans="2:3" s="12" customFormat="1" ht="22.5" customHeight="1" x14ac:dyDescent="0.2">
      <c r="B229" s="56"/>
      <c r="C229" s="53"/>
    </row>
    <row r="230" spans="2:3" s="12" customFormat="1" ht="22.5" customHeight="1" x14ac:dyDescent="0.2">
      <c r="B230" s="56"/>
      <c r="C230" s="53"/>
    </row>
    <row r="231" spans="2:3" s="12" customFormat="1" ht="22.5" customHeight="1" x14ac:dyDescent="0.2">
      <c r="B231" s="56"/>
      <c r="C231" s="53"/>
    </row>
    <row r="232" spans="2:3" s="12" customFormat="1" ht="22.5" customHeight="1" x14ac:dyDescent="0.2">
      <c r="B232" s="56"/>
      <c r="C232" s="53"/>
    </row>
    <row r="233" spans="2:3" s="12" customFormat="1" ht="22.5" customHeight="1" x14ac:dyDescent="0.2">
      <c r="B233" s="56"/>
      <c r="C233" s="53"/>
    </row>
    <row r="234" spans="2:3" s="12" customFormat="1" ht="22.5" customHeight="1" x14ac:dyDescent="0.2">
      <c r="B234" s="56"/>
      <c r="C234" s="53"/>
    </row>
    <row r="235" spans="2:3" s="12" customFormat="1" ht="22.5" customHeight="1" x14ac:dyDescent="0.2">
      <c r="B235" s="56"/>
      <c r="C235" s="53"/>
    </row>
    <row r="236" spans="2:3" s="12" customFormat="1" ht="22.5" customHeight="1" x14ac:dyDescent="0.2">
      <c r="B236" s="56"/>
      <c r="C236" s="53"/>
    </row>
    <row r="237" spans="2:3" s="12" customFormat="1" ht="22.5" customHeight="1" x14ac:dyDescent="0.2">
      <c r="B237" s="56"/>
      <c r="C237" s="53"/>
    </row>
    <row r="238" spans="2:3" s="12" customFormat="1" ht="22.5" customHeight="1" x14ac:dyDescent="0.2">
      <c r="B238" s="56"/>
      <c r="C238" s="53"/>
    </row>
    <row r="239" spans="2:3" s="12" customFormat="1" ht="22.5" customHeight="1" x14ac:dyDescent="0.2">
      <c r="B239" s="56"/>
      <c r="C239" s="53"/>
    </row>
    <row r="240" spans="2:3" s="12" customFormat="1" ht="22.5" customHeight="1" x14ac:dyDescent="0.2">
      <c r="B240" s="56"/>
      <c r="C240" s="53"/>
    </row>
    <row r="241" spans="2:3" s="12" customFormat="1" ht="22.5" customHeight="1" x14ac:dyDescent="0.2">
      <c r="B241" s="56"/>
      <c r="C241" s="53"/>
    </row>
    <row r="242" spans="2:3" s="12" customFormat="1" ht="22.5" customHeight="1" x14ac:dyDescent="0.2">
      <c r="B242" s="56"/>
      <c r="C242" s="53"/>
    </row>
    <row r="243" spans="2:3" s="12" customFormat="1" ht="22.5" customHeight="1" x14ac:dyDescent="0.2">
      <c r="B243" s="56"/>
      <c r="C243" s="53"/>
    </row>
    <row r="244" spans="2:3" s="12" customFormat="1" ht="22.5" customHeight="1" x14ac:dyDescent="0.2">
      <c r="B244" s="56"/>
      <c r="C244" s="53"/>
    </row>
    <row r="245" spans="2:3" s="12" customFormat="1" ht="22.5" customHeight="1" x14ac:dyDescent="0.2">
      <c r="B245" s="56"/>
      <c r="C245" s="53"/>
    </row>
    <row r="246" spans="2:3" s="12" customFormat="1" ht="22.5" customHeight="1" x14ac:dyDescent="0.2">
      <c r="B246" s="56"/>
      <c r="C246" s="53"/>
    </row>
    <row r="247" spans="2:3" s="12" customFormat="1" ht="22.5" customHeight="1" x14ac:dyDescent="0.2">
      <c r="B247" s="56"/>
      <c r="C247" s="53"/>
    </row>
    <row r="248" spans="2:3" s="12" customFormat="1" ht="22.5" customHeight="1" x14ac:dyDescent="0.2">
      <c r="B248" s="56"/>
      <c r="C248" s="53"/>
    </row>
    <row r="249" spans="2:3" s="12" customFormat="1" ht="22.5" customHeight="1" x14ac:dyDescent="0.2">
      <c r="B249" s="56"/>
      <c r="C249" s="53"/>
    </row>
    <row r="250" spans="2:3" s="12" customFormat="1" ht="22.5" customHeight="1" x14ac:dyDescent="0.2">
      <c r="B250" s="56"/>
      <c r="C250" s="53"/>
    </row>
    <row r="251" spans="2:3" s="12" customFormat="1" ht="22.5" customHeight="1" x14ac:dyDescent="0.2">
      <c r="B251" s="56"/>
      <c r="C251" s="53"/>
    </row>
    <row r="252" spans="2:3" s="12" customFormat="1" ht="22.5" customHeight="1" x14ac:dyDescent="0.2">
      <c r="B252" s="56"/>
      <c r="C252" s="53"/>
    </row>
    <row r="253" spans="2:3" s="12" customFormat="1" ht="22.5" customHeight="1" x14ac:dyDescent="0.2">
      <c r="B253" s="56"/>
      <c r="C253" s="53"/>
    </row>
    <row r="254" spans="2:3" s="12" customFormat="1" ht="22.5" customHeight="1" x14ac:dyDescent="0.2">
      <c r="B254" s="56"/>
      <c r="C254" s="53"/>
    </row>
    <row r="255" spans="2:3" s="12" customFormat="1" ht="22.5" customHeight="1" x14ac:dyDescent="0.2">
      <c r="B255" s="56"/>
      <c r="C255" s="53"/>
    </row>
    <row r="256" spans="2:3" s="12" customFormat="1" ht="22.5" customHeight="1" x14ac:dyDescent="0.2">
      <c r="B256" s="56"/>
      <c r="C256" s="53"/>
    </row>
    <row r="257" spans="2:3" s="12" customFormat="1" ht="22.5" customHeight="1" x14ac:dyDescent="0.2">
      <c r="B257" s="56"/>
      <c r="C257" s="53"/>
    </row>
    <row r="258" spans="2:3" s="12" customFormat="1" ht="22.5" customHeight="1" x14ac:dyDescent="0.2">
      <c r="B258" s="56"/>
      <c r="C258" s="53"/>
    </row>
    <row r="259" spans="2:3" s="12" customFormat="1" ht="22.5" customHeight="1" x14ac:dyDescent="0.2">
      <c r="B259" s="56"/>
      <c r="C259" s="53"/>
    </row>
    <row r="260" spans="2:3" s="12" customFormat="1" ht="22.5" customHeight="1" x14ac:dyDescent="0.2">
      <c r="B260" s="56"/>
      <c r="C260" s="53"/>
    </row>
    <row r="261" spans="2:3" s="12" customFormat="1" ht="22.5" customHeight="1" x14ac:dyDescent="0.2">
      <c r="B261" s="56"/>
      <c r="C261" s="53"/>
    </row>
    <row r="262" spans="2:3" s="12" customFormat="1" ht="22.5" customHeight="1" x14ac:dyDescent="0.2">
      <c r="B262" s="56"/>
      <c r="C262" s="53"/>
    </row>
    <row r="263" spans="2:3" s="12" customFormat="1" ht="22.5" customHeight="1" x14ac:dyDescent="0.2">
      <c r="B263" s="56"/>
      <c r="C263" s="53"/>
    </row>
    <row r="264" spans="2:3" s="12" customFormat="1" ht="22.5" customHeight="1" x14ac:dyDescent="0.2">
      <c r="B264" s="56"/>
      <c r="C264" s="53"/>
    </row>
    <row r="265" spans="2:3" s="12" customFormat="1" ht="22.5" customHeight="1" x14ac:dyDescent="0.2">
      <c r="B265" s="56"/>
      <c r="C265" s="53"/>
    </row>
    <row r="266" spans="2:3" s="12" customFormat="1" ht="22.5" customHeight="1" x14ac:dyDescent="0.2">
      <c r="B266" s="56"/>
      <c r="C266" s="53"/>
    </row>
    <row r="267" spans="2:3" s="12" customFormat="1" ht="22.5" customHeight="1" x14ac:dyDescent="0.2">
      <c r="B267" s="56"/>
      <c r="C267" s="53"/>
    </row>
    <row r="268" spans="2:3" s="12" customFormat="1" ht="22.5" customHeight="1" x14ac:dyDescent="0.2">
      <c r="B268" s="56"/>
      <c r="C268" s="53"/>
    </row>
    <row r="269" spans="2:3" s="12" customFormat="1" ht="22.5" customHeight="1" x14ac:dyDescent="0.2">
      <c r="B269" s="56"/>
      <c r="C269" s="53"/>
    </row>
    <row r="270" spans="2:3" s="12" customFormat="1" ht="22.5" customHeight="1" x14ac:dyDescent="0.2">
      <c r="B270" s="56"/>
      <c r="C270" s="53"/>
    </row>
    <row r="271" spans="2:3" s="12" customFormat="1" ht="22.5" customHeight="1" x14ac:dyDescent="0.2">
      <c r="B271" s="56"/>
      <c r="C271" s="53"/>
    </row>
    <row r="272" spans="2:3" s="12" customFormat="1" ht="22.5" customHeight="1" x14ac:dyDescent="0.2">
      <c r="B272" s="56"/>
      <c r="C272" s="53"/>
    </row>
    <row r="273" spans="2:3" s="12" customFormat="1" ht="22.5" customHeight="1" x14ac:dyDescent="0.2">
      <c r="B273" s="56"/>
      <c r="C273" s="53"/>
    </row>
    <row r="274" spans="2:3" s="12" customFormat="1" ht="22.5" customHeight="1" x14ac:dyDescent="0.2">
      <c r="B274" s="56"/>
      <c r="C274" s="53"/>
    </row>
    <row r="275" spans="2:3" s="12" customFormat="1" ht="22.5" customHeight="1" x14ac:dyDescent="0.2">
      <c r="B275" s="56"/>
      <c r="C275" s="53"/>
    </row>
    <row r="276" spans="2:3" s="12" customFormat="1" ht="22.5" customHeight="1" x14ac:dyDescent="0.2">
      <c r="B276" s="56"/>
      <c r="C276" s="53"/>
    </row>
    <row r="277" spans="2:3" s="12" customFormat="1" ht="22.5" customHeight="1" x14ac:dyDescent="0.2">
      <c r="B277" s="56"/>
      <c r="C277" s="53"/>
    </row>
    <row r="278" spans="2:3" s="12" customFormat="1" ht="22.5" customHeight="1" x14ac:dyDescent="0.2">
      <c r="B278" s="56"/>
      <c r="C278" s="53"/>
    </row>
    <row r="279" spans="2:3" s="12" customFormat="1" ht="22.5" customHeight="1" x14ac:dyDescent="0.2">
      <c r="B279" s="56"/>
      <c r="C279" s="53"/>
    </row>
    <row r="280" spans="2:3" s="12" customFormat="1" ht="22.5" customHeight="1" x14ac:dyDescent="0.2">
      <c r="B280" s="56"/>
      <c r="C280" s="53"/>
    </row>
    <row r="281" spans="2:3" s="12" customFormat="1" ht="22.5" customHeight="1" x14ac:dyDescent="0.2">
      <c r="B281" s="56"/>
      <c r="C281" s="53"/>
    </row>
    <row r="282" spans="2:3" s="12" customFormat="1" ht="22.5" customHeight="1" x14ac:dyDescent="0.2">
      <c r="B282" s="56"/>
      <c r="C282" s="53"/>
    </row>
    <row r="283" spans="2:3" s="12" customFormat="1" ht="22.5" customHeight="1" x14ac:dyDescent="0.2">
      <c r="B283" s="56"/>
      <c r="C283" s="53"/>
    </row>
    <row r="284" spans="2:3" s="12" customFormat="1" ht="22.5" customHeight="1" x14ac:dyDescent="0.2">
      <c r="B284" s="56"/>
      <c r="C284" s="53"/>
    </row>
    <row r="285" spans="2:3" s="12" customFormat="1" ht="22.5" customHeight="1" x14ac:dyDescent="0.2">
      <c r="B285" s="56"/>
      <c r="C285" s="53"/>
    </row>
    <row r="286" spans="2:3" s="12" customFormat="1" ht="22.5" customHeight="1" x14ac:dyDescent="0.2">
      <c r="B286" s="56"/>
      <c r="C286" s="53"/>
    </row>
    <row r="287" spans="2:3" s="12" customFormat="1" ht="22.5" customHeight="1" x14ac:dyDescent="0.2">
      <c r="B287" s="56"/>
      <c r="C287" s="53"/>
    </row>
    <row r="288" spans="2:3" s="12" customFormat="1" ht="22.5" customHeight="1" x14ac:dyDescent="0.2">
      <c r="B288" s="56"/>
      <c r="C288" s="53"/>
    </row>
    <row r="289" spans="2:3" s="12" customFormat="1" ht="22.5" customHeight="1" x14ac:dyDescent="0.2">
      <c r="B289" s="56"/>
      <c r="C289" s="53"/>
    </row>
    <row r="290" spans="2:3" s="12" customFormat="1" ht="22.5" customHeight="1" x14ac:dyDescent="0.2">
      <c r="B290" s="56"/>
      <c r="C290" s="53"/>
    </row>
    <row r="291" spans="2:3" s="12" customFormat="1" ht="22.5" customHeight="1" x14ac:dyDescent="0.2">
      <c r="B291" s="56"/>
      <c r="C291" s="53"/>
    </row>
    <row r="292" spans="2:3" s="12" customFormat="1" ht="22.5" customHeight="1" x14ac:dyDescent="0.2">
      <c r="B292" s="56"/>
      <c r="C292" s="53"/>
    </row>
    <row r="293" spans="2:3" s="12" customFormat="1" ht="22.5" customHeight="1" x14ac:dyDescent="0.2">
      <c r="B293" s="56"/>
      <c r="C293" s="53"/>
    </row>
    <row r="294" spans="2:3" s="12" customFormat="1" ht="22.5" customHeight="1" x14ac:dyDescent="0.2">
      <c r="B294" s="56"/>
      <c r="C294" s="53"/>
    </row>
    <row r="295" spans="2:3" s="12" customFormat="1" ht="22.5" customHeight="1" x14ac:dyDescent="0.2">
      <c r="B295" s="56"/>
      <c r="C295" s="53"/>
    </row>
    <row r="296" spans="2:3" s="12" customFormat="1" ht="22.5" customHeight="1" x14ac:dyDescent="0.2">
      <c r="B296" s="56"/>
      <c r="C296" s="53"/>
    </row>
    <row r="297" spans="2:3" s="12" customFormat="1" ht="22.5" customHeight="1" x14ac:dyDescent="0.2">
      <c r="B297" s="56"/>
      <c r="C297" s="53"/>
    </row>
    <row r="298" spans="2:3" s="12" customFormat="1" ht="22.5" customHeight="1" x14ac:dyDescent="0.2">
      <c r="B298" s="56"/>
      <c r="C298" s="53"/>
    </row>
    <row r="299" spans="2:3" s="12" customFormat="1" ht="22.5" customHeight="1" x14ac:dyDescent="0.2">
      <c r="B299" s="56"/>
      <c r="C299" s="53"/>
    </row>
    <row r="300" spans="2:3" s="12" customFormat="1" ht="22.5" customHeight="1" x14ac:dyDescent="0.2">
      <c r="B300" s="56"/>
      <c r="C300" s="53"/>
    </row>
    <row r="301" spans="2:3" s="12" customFormat="1" ht="22.5" customHeight="1" x14ac:dyDescent="0.2">
      <c r="B301" s="56"/>
      <c r="C301" s="53"/>
    </row>
    <row r="302" spans="2:3" s="12" customFormat="1" ht="22.5" customHeight="1" x14ac:dyDescent="0.2">
      <c r="B302" s="56"/>
      <c r="C302" s="53"/>
    </row>
    <row r="303" spans="2:3" s="12" customFormat="1" ht="22.5" customHeight="1" x14ac:dyDescent="0.2">
      <c r="B303" s="56"/>
      <c r="C303" s="53"/>
    </row>
    <row r="304" spans="2:3" s="12" customFormat="1" ht="22.5" customHeight="1" x14ac:dyDescent="0.2">
      <c r="B304" s="56"/>
      <c r="C304" s="53"/>
    </row>
    <row r="305" spans="2:3" s="12" customFormat="1" ht="22.5" customHeight="1" x14ac:dyDescent="0.2">
      <c r="B305" s="56"/>
      <c r="C305" s="53"/>
    </row>
    <row r="306" spans="2:3" s="12" customFormat="1" ht="22.5" customHeight="1" x14ac:dyDescent="0.2">
      <c r="B306" s="56"/>
      <c r="C306" s="53"/>
    </row>
    <row r="307" spans="2:3" s="12" customFormat="1" ht="22.5" customHeight="1" x14ac:dyDescent="0.2">
      <c r="B307" s="56"/>
      <c r="C307" s="53"/>
    </row>
    <row r="308" spans="2:3" s="12" customFormat="1" ht="22.5" customHeight="1" x14ac:dyDescent="0.2">
      <c r="B308" s="56"/>
      <c r="C308" s="53"/>
    </row>
    <row r="309" spans="2:3" s="12" customFormat="1" ht="22.5" customHeight="1" x14ac:dyDescent="0.2">
      <c r="B309" s="56"/>
      <c r="C309" s="53"/>
    </row>
    <row r="310" spans="2:3" s="12" customFormat="1" ht="22.5" customHeight="1" x14ac:dyDescent="0.2">
      <c r="B310" s="56"/>
      <c r="C310" s="53"/>
    </row>
    <row r="311" spans="2:3" s="12" customFormat="1" ht="22.5" customHeight="1" x14ac:dyDescent="0.2">
      <c r="B311" s="56"/>
      <c r="C311" s="53"/>
    </row>
    <row r="312" spans="2:3" s="12" customFormat="1" ht="22.5" customHeight="1" x14ac:dyDescent="0.2">
      <c r="B312" s="56"/>
      <c r="C312" s="53"/>
    </row>
    <row r="313" spans="2:3" s="12" customFormat="1" ht="22.5" customHeight="1" x14ac:dyDescent="0.2">
      <c r="B313" s="56"/>
      <c r="C313" s="53"/>
    </row>
    <row r="314" spans="2:3" s="12" customFormat="1" ht="22.5" customHeight="1" x14ac:dyDescent="0.2">
      <c r="B314" s="56"/>
      <c r="C314" s="53"/>
    </row>
    <row r="315" spans="2:3" s="12" customFormat="1" ht="22.5" customHeight="1" x14ac:dyDescent="0.2">
      <c r="B315" s="56"/>
      <c r="C315" s="53"/>
    </row>
    <row r="316" spans="2:3" s="12" customFormat="1" ht="22.5" customHeight="1" x14ac:dyDescent="0.2">
      <c r="B316" s="56"/>
      <c r="C316" s="53"/>
    </row>
    <row r="317" spans="2:3" s="12" customFormat="1" ht="22.5" customHeight="1" x14ac:dyDescent="0.2">
      <c r="B317" s="56"/>
      <c r="C317" s="53"/>
    </row>
    <row r="318" spans="2:3" s="12" customFormat="1" ht="22.5" customHeight="1" x14ac:dyDescent="0.2">
      <c r="B318" s="56"/>
      <c r="C318" s="53"/>
    </row>
    <row r="319" spans="2:3" s="12" customFormat="1" ht="22.5" customHeight="1" x14ac:dyDescent="0.2">
      <c r="B319" s="56"/>
      <c r="C319" s="53"/>
    </row>
    <row r="320" spans="2:3" s="12" customFormat="1" ht="22.5" customHeight="1" x14ac:dyDescent="0.2">
      <c r="B320" s="56"/>
      <c r="C320" s="53"/>
    </row>
    <row r="321" spans="2:3" s="12" customFormat="1" ht="22.5" customHeight="1" x14ac:dyDescent="0.2">
      <c r="B321" s="56"/>
      <c r="C321" s="53"/>
    </row>
    <row r="322" spans="2:3" s="12" customFormat="1" ht="22.5" customHeight="1" x14ac:dyDescent="0.2">
      <c r="B322" s="56"/>
      <c r="C322" s="53"/>
    </row>
    <row r="323" spans="2:3" s="12" customFormat="1" ht="22.5" customHeight="1" x14ac:dyDescent="0.2">
      <c r="B323" s="56"/>
      <c r="C323" s="53"/>
    </row>
    <row r="324" spans="2:3" s="12" customFormat="1" ht="22.5" customHeight="1" x14ac:dyDescent="0.2">
      <c r="B324" s="56"/>
      <c r="C324" s="53"/>
    </row>
    <row r="325" spans="2:3" s="12" customFormat="1" ht="22.5" customHeight="1" x14ac:dyDescent="0.2">
      <c r="B325" s="56"/>
      <c r="C325" s="53"/>
    </row>
    <row r="326" spans="2:3" s="12" customFormat="1" ht="22.5" customHeight="1" x14ac:dyDescent="0.2">
      <c r="B326" s="56"/>
      <c r="C326" s="53"/>
    </row>
    <row r="327" spans="2:3" s="12" customFormat="1" ht="22.5" customHeight="1" x14ac:dyDescent="0.2">
      <c r="B327" s="56"/>
      <c r="C327" s="53"/>
    </row>
    <row r="328" spans="2:3" s="12" customFormat="1" ht="22.5" customHeight="1" x14ac:dyDescent="0.2">
      <c r="B328" s="56"/>
      <c r="C328" s="53"/>
    </row>
    <row r="329" spans="2:3" s="12" customFormat="1" ht="22.5" customHeight="1" x14ac:dyDescent="0.2">
      <c r="B329" s="56"/>
      <c r="C329" s="53"/>
    </row>
    <row r="330" spans="2:3" s="12" customFormat="1" ht="22.5" customHeight="1" x14ac:dyDescent="0.2">
      <c r="B330" s="56"/>
      <c r="C330" s="53"/>
    </row>
    <row r="331" spans="2:3" s="12" customFormat="1" ht="22.5" customHeight="1" x14ac:dyDescent="0.2">
      <c r="B331" s="56"/>
      <c r="C331" s="53"/>
    </row>
    <row r="332" spans="2:3" s="12" customFormat="1" ht="22.5" customHeight="1" x14ac:dyDescent="0.2">
      <c r="B332" s="56"/>
      <c r="C332" s="53"/>
    </row>
    <row r="333" spans="2:3" s="12" customFormat="1" ht="22.5" customHeight="1" x14ac:dyDescent="0.2">
      <c r="B333" s="56"/>
      <c r="C333" s="53"/>
    </row>
    <row r="334" spans="2:3" s="12" customFormat="1" ht="22.5" customHeight="1" x14ac:dyDescent="0.2">
      <c r="B334" s="56"/>
      <c r="C334" s="53"/>
    </row>
    <row r="335" spans="2:3" s="12" customFormat="1" ht="22.5" customHeight="1" x14ac:dyDescent="0.2">
      <c r="B335" s="56"/>
      <c r="C335" s="53"/>
    </row>
    <row r="336" spans="2:3" s="12" customFormat="1" ht="22.5" customHeight="1" x14ac:dyDescent="0.2">
      <c r="B336" s="56"/>
      <c r="C336" s="53"/>
    </row>
    <row r="337" spans="2:3" s="12" customFormat="1" ht="22.5" customHeight="1" x14ac:dyDescent="0.2">
      <c r="B337" s="56"/>
      <c r="C337" s="53"/>
    </row>
    <row r="338" spans="2:3" s="12" customFormat="1" ht="22.5" customHeight="1" x14ac:dyDescent="0.2">
      <c r="B338" s="56"/>
      <c r="C338" s="53"/>
    </row>
    <row r="339" spans="2:3" s="12" customFormat="1" ht="22.5" customHeight="1" x14ac:dyDescent="0.2">
      <c r="B339" s="56"/>
      <c r="C339" s="53"/>
    </row>
    <row r="340" spans="2:3" s="12" customFormat="1" ht="22.5" customHeight="1" x14ac:dyDescent="0.2">
      <c r="B340" s="56"/>
      <c r="C340" s="53"/>
    </row>
    <row r="341" spans="2:3" s="12" customFormat="1" ht="22.5" customHeight="1" x14ac:dyDescent="0.2">
      <c r="B341" s="56"/>
      <c r="C341" s="53"/>
    </row>
    <row r="342" spans="2:3" s="12" customFormat="1" ht="22.5" customHeight="1" x14ac:dyDescent="0.2">
      <c r="B342" s="56"/>
      <c r="C342" s="53"/>
    </row>
    <row r="343" spans="2:3" s="12" customFormat="1" ht="22.5" customHeight="1" x14ac:dyDescent="0.2">
      <c r="B343" s="56"/>
      <c r="C343" s="53"/>
    </row>
    <row r="344" spans="2:3" s="12" customFormat="1" ht="22.5" customHeight="1" x14ac:dyDescent="0.2">
      <c r="B344" s="56"/>
      <c r="C344" s="53"/>
    </row>
    <row r="345" spans="2:3" s="12" customFormat="1" ht="22.5" customHeight="1" x14ac:dyDescent="0.2">
      <c r="B345" s="56"/>
      <c r="C345" s="53"/>
    </row>
    <row r="346" spans="2:3" s="12" customFormat="1" ht="22.5" customHeight="1" x14ac:dyDescent="0.2">
      <c r="B346" s="56"/>
      <c r="C346" s="53"/>
    </row>
    <row r="347" spans="2:3" s="12" customFormat="1" ht="22.5" customHeight="1" x14ac:dyDescent="0.2">
      <c r="B347" s="56"/>
      <c r="C347" s="53"/>
    </row>
    <row r="348" spans="2:3" s="12" customFormat="1" ht="22.5" customHeight="1" x14ac:dyDescent="0.2">
      <c r="B348" s="56"/>
      <c r="C348" s="53"/>
    </row>
    <row r="349" spans="2:3" s="12" customFormat="1" ht="22.5" customHeight="1" x14ac:dyDescent="0.2">
      <c r="B349" s="56"/>
      <c r="C349" s="53"/>
    </row>
    <row r="350" spans="2:3" s="12" customFormat="1" ht="22.5" customHeight="1" x14ac:dyDescent="0.2">
      <c r="B350" s="56"/>
      <c r="C350" s="53"/>
    </row>
    <row r="351" spans="2:3" s="12" customFormat="1" ht="22.5" customHeight="1" x14ac:dyDescent="0.2">
      <c r="B351" s="56"/>
      <c r="C351" s="53"/>
    </row>
    <row r="352" spans="2:3" s="12" customFormat="1" ht="22.5" customHeight="1" x14ac:dyDescent="0.2">
      <c r="B352" s="56"/>
      <c r="C352" s="53"/>
    </row>
    <row r="353" spans="2:3" s="12" customFormat="1" ht="22.5" customHeight="1" x14ac:dyDescent="0.2">
      <c r="B353" s="56"/>
      <c r="C353" s="53"/>
    </row>
    <row r="354" spans="2:3" s="12" customFormat="1" ht="22.5" customHeight="1" x14ac:dyDescent="0.2">
      <c r="B354" s="56"/>
      <c r="C354" s="53"/>
    </row>
    <row r="355" spans="2:3" s="12" customFormat="1" ht="22.5" customHeight="1" x14ac:dyDescent="0.2">
      <c r="B355" s="56"/>
      <c r="C355" s="53"/>
    </row>
    <row r="356" spans="2:3" s="12" customFormat="1" ht="22.5" customHeight="1" x14ac:dyDescent="0.2">
      <c r="B356" s="56"/>
      <c r="C356" s="53"/>
    </row>
    <row r="357" spans="2:3" s="12" customFormat="1" ht="22.5" customHeight="1" x14ac:dyDescent="0.2">
      <c r="B357" s="56"/>
      <c r="C357" s="53"/>
    </row>
    <row r="358" spans="2:3" s="12" customFormat="1" ht="22.5" customHeight="1" x14ac:dyDescent="0.2">
      <c r="B358" s="56"/>
      <c r="C358" s="53"/>
    </row>
    <row r="359" spans="2:3" s="12" customFormat="1" ht="22.5" customHeight="1" x14ac:dyDescent="0.2">
      <c r="B359" s="56"/>
      <c r="C359" s="53"/>
    </row>
    <row r="360" spans="2:3" s="12" customFormat="1" ht="22.5" customHeight="1" x14ac:dyDescent="0.2">
      <c r="B360" s="56"/>
      <c r="C360" s="53"/>
    </row>
    <row r="361" spans="2:3" s="12" customFormat="1" ht="22.5" customHeight="1" x14ac:dyDescent="0.2">
      <c r="B361" s="56"/>
      <c r="C361" s="53"/>
    </row>
    <row r="362" spans="2:3" s="12" customFormat="1" ht="22.5" customHeight="1" x14ac:dyDescent="0.2">
      <c r="B362" s="56"/>
      <c r="C362" s="53"/>
    </row>
    <row r="363" spans="2:3" s="12" customFormat="1" ht="22.5" customHeight="1" x14ac:dyDescent="0.2">
      <c r="B363" s="56"/>
      <c r="C363" s="53"/>
    </row>
    <row r="364" spans="2:3" s="12" customFormat="1" ht="22.5" customHeight="1" x14ac:dyDescent="0.2">
      <c r="B364" s="56"/>
      <c r="C364" s="53"/>
    </row>
    <row r="365" spans="2:3" s="12" customFormat="1" ht="22.5" customHeight="1" x14ac:dyDescent="0.2">
      <c r="B365" s="56"/>
      <c r="C365" s="53"/>
    </row>
    <row r="366" spans="2:3" s="12" customFormat="1" ht="22.5" customHeight="1" x14ac:dyDescent="0.2">
      <c r="B366" s="56"/>
      <c r="C366" s="53"/>
    </row>
    <row r="367" spans="2:3" s="12" customFormat="1" ht="22.5" customHeight="1" x14ac:dyDescent="0.2">
      <c r="B367" s="56"/>
      <c r="C367" s="53"/>
    </row>
    <row r="368" spans="2:3" s="12" customFormat="1" ht="22.5" customHeight="1" x14ac:dyDescent="0.2">
      <c r="B368" s="56"/>
      <c r="C368" s="53"/>
    </row>
    <row r="369" spans="2:3" s="12" customFormat="1" ht="22.5" customHeight="1" x14ac:dyDescent="0.2">
      <c r="B369" s="56"/>
      <c r="C369" s="53"/>
    </row>
    <row r="370" spans="2:3" s="12" customFormat="1" ht="22.5" customHeight="1" x14ac:dyDescent="0.2">
      <c r="B370" s="56"/>
      <c r="C370" s="53"/>
    </row>
    <row r="371" spans="2:3" s="12" customFormat="1" ht="22.5" customHeight="1" x14ac:dyDescent="0.2">
      <c r="B371" s="56"/>
      <c r="C371" s="53"/>
    </row>
    <row r="372" spans="2:3" s="12" customFormat="1" ht="22.5" customHeight="1" x14ac:dyDescent="0.2">
      <c r="B372" s="56"/>
      <c r="C372" s="53"/>
    </row>
    <row r="373" spans="2:3" s="12" customFormat="1" ht="22.5" customHeight="1" x14ac:dyDescent="0.2">
      <c r="B373" s="56"/>
      <c r="C373" s="53"/>
    </row>
    <row r="374" spans="2:3" s="12" customFormat="1" ht="22.5" customHeight="1" x14ac:dyDescent="0.2">
      <c r="B374" s="56"/>
      <c r="C374" s="53"/>
    </row>
    <row r="375" spans="2:3" s="12" customFormat="1" ht="22.5" customHeight="1" x14ac:dyDescent="0.2">
      <c r="B375" s="56"/>
      <c r="C375" s="53"/>
    </row>
    <row r="376" spans="2:3" s="12" customFormat="1" ht="22.5" customHeight="1" x14ac:dyDescent="0.2">
      <c r="B376" s="56"/>
      <c r="C376" s="53"/>
    </row>
    <row r="377" spans="2:3" s="12" customFormat="1" ht="22.5" customHeight="1" x14ac:dyDescent="0.2">
      <c r="B377" s="56"/>
      <c r="C377" s="53"/>
    </row>
    <row r="378" spans="2:3" s="12" customFormat="1" ht="22.5" customHeight="1" x14ac:dyDescent="0.2">
      <c r="B378" s="56"/>
      <c r="C378" s="53"/>
    </row>
    <row r="379" spans="2:3" s="12" customFormat="1" ht="22.5" customHeight="1" x14ac:dyDescent="0.2">
      <c r="B379" s="56"/>
      <c r="C379" s="53"/>
    </row>
    <row r="380" spans="2:3" s="12" customFormat="1" ht="22.5" customHeight="1" x14ac:dyDescent="0.2">
      <c r="B380" s="56"/>
      <c r="C380" s="53"/>
    </row>
    <row r="381" spans="2:3" s="12" customFormat="1" ht="22.5" customHeight="1" x14ac:dyDescent="0.2">
      <c r="B381" s="56"/>
      <c r="C381" s="53"/>
    </row>
    <row r="382" spans="2:3" s="12" customFormat="1" ht="22.5" customHeight="1" x14ac:dyDescent="0.2">
      <c r="B382" s="56"/>
      <c r="C382" s="53"/>
    </row>
    <row r="383" spans="2:3" s="12" customFormat="1" ht="22.5" customHeight="1" x14ac:dyDescent="0.2">
      <c r="B383" s="56"/>
      <c r="C383" s="53"/>
    </row>
    <row r="384" spans="2:3" s="12" customFormat="1" ht="22.5" customHeight="1" x14ac:dyDescent="0.2">
      <c r="B384" s="56"/>
      <c r="C384" s="53"/>
    </row>
    <row r="385" spans="2:3" s="12" customFormat="1" ht="22.5" customHeight="1" x14ac:dyDescent="0.2">
      <c r="B385" s="56"/>
      <c r="C385" s="53"/>
    </row>
    <row r="386" spans="2:3" s="12" customFormat="1" ht="22.5" customHeight="1" x14ac:dyDescent="0.2">
      <c r="B386" s="56"/>
      <c r="C386" s="53"/>
    </row>
    <row r="387" spans="2:3" s="12" customFormat="1" ht="22.5" customHeight="1" x14ac:dyDescent="0.2">
      <c r="B387" s="56"/>
      <c r="C387" s="53"/>
    </row>
    <row r="388" spans="2:3" s="12" customFormat="1" ht="22.5" customHeight="1" x14ac:dyDescent="0.2">
      <c r="B388" s="56"/>
      <c r="C388" s="53"/>
    </row>
    <row r="389" spans="2:3" s="12" customFormat="1" ht="22.5" customHeight="1" x14ac:dyDescent="0.2">
      <c r="B389" s="56"/>
      <c r="C389" s="53"/>
    </row>
    <row r="390" spans="2:3" s="12" customFormat="1" ht="22.5" customHeight="1" x14ac:dyDescent="0.2">
      <c r="B390" s="56"/>
      <c r="C390" s="53"/>
    </row>
    <row r="391" spans="2:3" s="12" customFormat="1" ht="22.5" customHeight="1" x14ac:dyDescent="0.2">
      <c r="B391" s="56"/>
      <c r="C391" s="53"/>
    </row>
    <row r="392" spans="2:3" s="12" customFormat="1" ht="22.5" customHeight="1" x14ac:dyDescent="0.2">
      <c r="B392" s="56"/>
      <c r="C392" s="53"/>
    </row>
    <row r="393" spans="2:3" s="12" customFormat="1" ht="22.5" customHeight="1" x14ac:dyDescent="0.2">
      <c r="B393" s="56"/>
      <c r="C393" s="53"/>
    </row>
    <row r="394" spans="2:3" s="12" customFormat="1" ht="22.5" customHeight="1" x14ac:dyDescent="0.2">
      <c r="B394" s="56"/>
      <c r="C394" s="53"/>
    </row>
    <row r="395" spans="2:3" s="12" customFormat="1" ht="22.5" customHeight="1" x14ac:dyDescent="0.2">
      <c r="B395" s="56"/>
      <c r="C395" s="53"/>
    </row>
    <row r="396" spans="2:3" s="12" customFormat="1" ht="22.5" customHeight="1" x14ac:dyDescent="0.2">
      <c r="B396" s="56"/>
      <c r="C396" s="53"/>
    </row>
    <row r="397" spans="2:3" s="12" customFormat="1" ht="22.5" customHeight="1" x14ac:dyDescent="0.2">
      <c r="B397" s="56"/>
      <c r="C397" s="53"/>
    </row>
    <row r="398" spans="2:3" s="12" customFormat="1" ht="22.5" customHeight="1" x14ac:dyDescent="0.2">
      <c r="B398" s="56"/>
      <c r="C398" s="53"/>
    </row>
    <row r="399" spans="2:3" s="12" customFormat="1" ht="22.5" customHeight="1" x14ac:dyDescent="0.2">
      <c r="B399" s="56"/>
      <c r="C399" s="53"/>
    </row>
    <row r="400" spans="2:3" s="12" customFormat="1" ht="22.5" customHeight="1" x14ac:dyDescent="0.2">
      <c r="B400" s="56"/>
      <c r="C400" s="53"/>
    </row>
    <row r="401" spans="2:3" s="12" customFormat="1" ht="22.5" customHeight="1" x14ac:dyDescent="0.2">
      <c r="B401" s="56"/>
      <c r="C401" s="53"/>
    </row>
    <row r="402" spans="2:3" s="12" customFormat="1" ht="22.5" customHeight="1" x14ac:dyDescent="0.2">
      <c r="B402" s="56"/>
      <c r="C402" s="53"/>
    </row>
    <row r="403" spans="2:3" s="12" customFormat="1" ht="22.5" customHeight="1" x14ac:dyDescent="0.2">
      <c r="B403" s="56"/>
      <c r="C403" s="53"/>
    </row>
    <row r="404" spans="2:3" s="12" customFormat="1" ht="22.5" customHeight="1" x14ac:dyDescent="0.2">
      <c r="B404" s="56"/>
      <c r="C404" s="53"/>
    </row>
    <row r="405" spans="2:3" s="12" customFormat="1" ht="22.5" customHeight="1" x14ac:dyDescent="0.2">
      <c r="B405" s="56"/>
      <c r="C405" s="53"/>
    </row>
    <row r="406" spans="2:3" s="12" customFormat="1" ht="22.5" customHeight="1" x14ac:dyDescent="0.2">
      <c r="B406" s="56"/>
      <c r="C406" s="53"/>
    </row>
    <row r="407" spans="2:3" s="12" customFormat="1" ht="22.5" customHeight="1" x14ac:dyDescent="0.2">
      <c r="B407" s="56"/>
      <c r="C407" s="53"/>
    </row>
    <row r="408" spans="2:3" s="12" customFormat="1" ht="22.5" customHeight="1" x14ac:dyDescent="0.2">
      <c r="B408" s="56"/>
      <c r="C408" s="53"/>
    </row>
    <row r="409" spans="2:3" s="12" customFormat="1" ht="22.5" customHeight="1" x14ac:dyDescent="0.2">
      <c r="B409" s="56"/>
      <c r="C409" s="53"/>
    </row>
    <row r="410" spans="2:3" s="12" customFormat="1" ht="22.5" customHeight="1" x14ac:dyDescent="0.2">
      <c r="B410" s="56"/>
      <c r="C410" s="53"/>
    </row>
    <row r="411" spans="2:3" s="12" customFormat="1" ht="22.5" customHeight="1" x14ac:dyDescent="0.2">
      <c r="B411" s="56"/>
      <c r="C411" s="53"/>
    </row>
    <row r="412" spans="2:3" s="12" customFormat="1" ht="22.5" customHeight="1" x14ac:dyDescent="0.2">
      <c r="B412" s="56"/>
      <c r="C412" s="53"/>
    </row>
    <row r="413" spans="2:3" s="12" customFormat="1" ht="22.5" customHeight="1" x14ac:dyDescent="0.2">
      <c r="B413" s="56"/>
      <c r="C413" s="53"/>
    </row>
    <row r="414" spans="2:3" s="12" customFormat="1" ht="22.5" customHeight="1" x14ac:dyDescent="0.2">
      <c r="B414" s="56"/>
      <c r="C414" s="53"/>
    </row>
    <row r="415" spans="2:3" s="12" customFormat="1" ht="22.5" customHeight="1" x14ac:dyDescent="0.2">
      <c r="B415" s="56"/>
      <c r="C415" s="53"/>
    </row>
    <row r="416" spans="2:3" s="12" customFormat="1" ht="22.5" customHeight="1" x14ac:dyDescent="0.2">
      <c r="B416" s="56"/>
      <c r="C416" s="53"/>
    </row>
    <row r="417" spans="2:3" s="12" customFormat="1" ht="22.5" customHeight="1" x14ac:dyDescent="0.2">
      <c r="B417" s="56"/>
      <c r="C417" s="53"/>
    </row>
    <row r="418" spans="2:3" s="12" customFormat="1" ht="22.5" customHeight="1" x14ac:dyDescent="0.2">
      <c r="B418" s="56"/>
      <c r="C418" s="53"/>
    </row>
    <row r="419" spans="2:3" s="12" customFormat="1" ht="22.5" customHeight="1" x14ac:dyDescent="0.2">
      <c r="B419" s="56"/>
      <c r="C419" s="53"/>
    </row>
    <row r="420" spans="2:3" s="12" customFormat="1" ht="22.5" customHeight="1" x14ac:dyDescent="0.2">
      <c r="B420" s="56"/>
      <c r="C420" s="53"/>
    </row>
    <row r="421" spans="2:3" s="12" customFormat="1" ht="22.5" customHeight="1" x14ac:dyDescent="0.2">
      <c r="B421" s="56"/>
      <c r="C421" s="53"/>
    </row>
    <row r="422" spans="2:3" s="12" customFormat="1" ht="22.5" customHeight="1" x14ac:dyDescent="0.2">
      <c r="B422" s="56"/>
      <c r="C422" s="53"/>
    </row>
    <row r="423" spans="2:3" s="12" customFormat="1" ht="22.5" customHeight="1" x14ac:dyDescent="0.2">
      <c r="B423" s="56"/>
      <c r="C423" s="53"/>
    </row>
    <row r="424" spans="2:3" s="12" customFormat="1" ht="22.5" customHeight="1" x14ac:dyDescent="0.2">
      <c r="B424" s="56"/>
      <c r="C424" s="53"/>
    </row>
    <row r="425" spans="2:3" s="12" customFormat="1" ht="22.5" customHeight="1" x14ac:dyDescent="0.2">
      <c r="B425" s="56"/>
      <c r="C425" s="53"/>
    </row>
    <row r="426" spans="2:3" s="12" customFormat="1" ht="22.5" customHeight="1" x14ac:dyDescent="0.2">
      <c r="B426" s="56"/>
      <c r="C426" s="53"/>
    </row>
    <row r="427" spans="2:3" s="12" customFormat="1" ht="22.5" customHeight="1" x14ac:dyDescent="0.2">
      <c r="B427" s="56"/>
      <c r="C427" s="53"/>
    </row>
    <row r="428" spans="2:3" s="12" customFormat="1" ht="22.5" customHeight="1" x14ac:dyDescent="0.2">
      <c r="B428" s="56"/>
      <c r="C428" s="53"/>
    </row>
    <row r="429" spans="2:3" s="12" customFormat="1" ht="22.5" customHeight="1" x14ac:dyDescent="0.2">
      <c r="B429" s="56"/>
      <c r="C429" s="53"/>
    </row>
    <row r="430" spans="2:3" s="12" customFormat="1" ht="22.5" customHeight="1" x14ac:dyDescent="0.2">
      <c r="B430" s="56"/>
      <c r="C430" s="53"/>
    </row>
    <row r="431" spans="2:3" s="12" customFormat="1" ht="22.5" customHeight="1" x14ac:dyDescent="0.2">
      <c r="B431" s="56"/>
      <c r="C431" s="53"/>
    </row>
    <row r="432" spans="2:3" s="12" customFormat="1" ht="22.5" customHeight="1" x14ac:dyDescent="0.2">
      <c r="B432" s="56"/>
      <c r="C432" s="53"/>
    </row>
    <row r="433" spans="2:3" s="12" customFormat="1" ht="22.5" customHeight="1" x14ac:dyDescent="0.2">
      <c r="B433" s="56"/>
      <c r="C433" s="53"/>
    </row>
    <row r="434" spans="2:3" s="12" customFormat="1" ht="22.5" customHeight="1" x14ac:dyDescent="0.2">
      <c r="B434" s="56"/>
      <c r="C434" s="53"/>
    </row>
    <row r="435" spans="2:3" s="12" customFormat="1" ht="22.5" customHeight="1" x14ac:dyDescent="0.2">
      <c r="B435" s="56"/>
      <c r="C435" s="53"/>
    </row>
    <row r="436" spans="2:3" s="12" customFormat="1" ht="22.5" customHeight="1" x14ac:dyDescent="0.2">
      <c r="B436" s="56"/>
      <c r="C436" s="53"/>
    </row>
    <row r="437" spans="2:3" s="12" customFormat="1" ht="22.5" customHeight="1" x14ac:dyDescent="0.2">
      <c r="B437" s="56"/>
      <c r="C437" s="53"/>
    </row>
    <row r="438" spans="2:3" s="12" customFormat="1" ht="22.5" customHeight="1" x14ac:dyDescent="0.2">
      <c r="B438" s="56"/>
      <c r="C438" s="53"/>
    </row>
    <row r="439" spans="2:3" s="12" customFormat="1" ht="22.5" customHeight="1" x14ac:dyDescent="0.2">
      <c r="B439" s="56"/>
      <c r="C439" s="53"/>
    </row>
    <row r="440" spans="2:3" s="12" customFormat="1" ht="22.5" customHeight="1" x14ac:dyDescent="0.2">
      <c r="B440" s="56"/>
      <c r="C440" s="53"/>
    </row>
    <row r="441" spans="2:3" s="12" customFormat="1" ht="22.5" customHeight="1" x14ac:dyDescent="0.2">
      <c r="B441" s="56"/>
      <c r="C441" s="53"/>
    </row>
    <row r="442" spans="2:3" s="12" customFormat="1" ht="22.5" customHeight="1" x14ac:dyDescent="0.2">
      <c r="B442" s="56"/>
      <c r="C442" s="53"/>
    </row>
    <row r="443" spans="2:3" s="12" customFormat="1" ht="22.5" customHeight="1" x14ac:dyDescent="0.2">
      <c r="B443" s="56"/>
      <c r="C443" s="53"/>
    </row>
    <row r="444" spans="2:3" s="12" customFormat="1" ht="22.5" customHeight="1" x14ac:dyDescent="0.2">
      <c r="B444" s="56"/>
      <c r="C444" s="53"/>
    </row>
    <row r="445" spans="2:3" s="12" customFormat="1" ht="22.5" customHeight="1" x14ac:dyDescent="0.2">
      <c r="B445" s="56"/>
      <c r="C445" s="53"/>
    </row>
    <row r="446" spans="2:3" s="12" customFormat="1" ht="22.5" customHeight="1" x14ac:dyDescent="0.2">
      <c r="B446" s="56"/>
      <c r="C446" s="53"/>
    </row>
    <row r="447" spans="2:3" s="12" customFormat="1" ht="22.5" customHeight="1" x14ac:dyDescent="0.2">
      <c r="B447" s="56"/>
      <c r="C447" s="53"/>
    </row>
    <row r="448" spans="2:3" s="12" customFormat="1" ht="22.5" customHeight="1" x14ac:dyDescent="0.2">
      <c r="B448" s="56"/>
      <c r="C448" s="53"/>
    </row>
    <row r="449" spans="2:3" s="12" customFormat="1" ht="22.5" customHeight="1" x14ac:dyDescent="0.2">
      <c r="B449" s="56"/>
      <c r="C449" s="53"/>
    </row>
    <row r="450" spans="2:3" s="12" customFormat="1" ht="22.5" customHeight="1" x14ac:dyDescent="0.2">
      <c r="B450" s="56"/>
      <c r="C450" s="53"/>
    </row>
    <row r="451" spans="2:3" s="12" customFormat="1" ht="22.5" customHeight="1" x14ac:dyDescent="0.2">
      <c r="B451" s="56"/>
      <c r="C451" s="53"/>
    </row>
    <row r="452" spans="2:3" s="12" customFormat="1" ht="22.5" customHeight="1" x14ac:dyDescent="0.2">
      <c r="B452" s="56"/>
      <c r="C452" s="53"/>
    </row>
    <row r="453" spans="2:3" s="12" customFormat="1" ht="22.5" customHeight="1" x14ac:dyDescent="0.2">
      <c r="B453" s="56"/>
      <c r="C453" s="53"/>
    </row>
    <row r="454" spans="2:3" s="12" customFormat="1" ht="22.5" customHeight="1" x14ac:dyDescent="0.2">
      <c r="B454" s="56"/>
      <c r="C454" s="53"/>
    </row>
    <row r="455" spans="2:3" s="12" customFormat="1" ht="22.5" customHeight="1" x14ac:dyDescent="0.2">
      <c r="B455" s="56"/>
      <c r="C455" s="53"/>
    </row>
    <row r="456" spans="2:3" s="12" customFormat="1" ht="22.5" customHeight="1" x14ac:dyDescent="0.2">
      <c r="B456" s="56"/>
      <c r="C456" s="53"/>
    </row>
    <row r="457" spans="2:3" s="12" customFormat="1" ht="22.5" customHeight="1" x14ac:dyDescent="0.2">
      <c r="B457" s="56"/>
      <c r="C457" s="53"/>
    </row>
    <row r="458" spans="2:3" s="12" customFormat="1" ht="22.5" customHeight="1" x14ac:dyDescent="0.2">
      <c r="B458" s="56"/>
      <c r="C458" s="53"/>
    </row>
    <row r="459" spans="2:3" s="12" customFormat="1" ht="22.5" customHeight="1" x14ac:dyDescent="0.2">
      <c r="B459" s="56"/>
      <c r="C459" s="53"/>
    </row>
    <row r="460" spans="2:3" s="12" customFormat="1" ht="22.5" customHeight="1" x14ac:dyDescent="0.2">
      <c r="B460" s="56"/>
      <c r="C460" s="53"/>
    </row>
    <row r="461" spans="2:3" s="12" customFormat="1" ht="22.5" customHeight="1" x14ac:dyDescent="0.2">
      <c r="B461" s="56"/>
      <c r="C461" s="53"/>
    </row>
    <row r="462" spans="2:3" s="12" customFormat="1" ht="22.5" customHeight="1" x14ac:dyDescent="0.2">
      <c r="B462" s="56"/>
      <c r="C462" s="53"/>
    </row>
    <row r="463" spans="2:3" s="12" customFormat="1" ht="22.5" customHeight="1" x14ac:dyDescent="0.2">
      <c r="B463" s="56"/>
      <c r="C463" s="53"/>
    </row>
    <row r="464" spans="2:3" s="12" customFormat="1" ht="22.5" customHeight="1" x14ac:dyDescent="0.2">
      <c r="B464" s="56"/>
      <c r="C464" s="53"/>
    </row>
    <row r="465" spans="2:3" s="12" customFormat="1" ht="22.5" customHeight="1" x14ac:dyDescent="0.2">
      <c r="B465" s="56"/>
      <c r="C465" s="53"/>
    </row>
    <row r="466" spans="2:3" s="12" customFormat="1" ht="22.5" customHeight="1" x14ac:dyDescent="0.2">
      <c r="B466" s="56"/>
      <c r="C466" s="53"/>
    </row>
    <row r="467" spans="2:3" s="12" customFormat="1" ht="22.5" customHeight="1" x14ac:dyDescent="0.2">
      <c r="B467" s="56"/>
      <c r="C467" s="53"/>
    </row>
    <row r="468" spans="2:3" s="12" customFormat="1" ht="22.5" customHeight="1" x14ac:dyDescent="0.2">
      <c r="B468" s="56"/>
      <c r="C468" s="53"/>
    </row>
    <row r="469" spans="2:3" s="12" customFormat="1" ht="22.5" customHeight="1" x14ac:dyDescent="0.2">
      <c r="B469" s="56"/>
      <c r="C469" s="53"/>
    </row>
    <row r="470" spans="2:3" s="12" customFormat="1" ht="22.5" customHeight="1" x14ac:dyDescent="0.2">
      <c r="B470" s="56"/>
      <c r="C470" s="53"/>
    </row>
    <row r="471" spans="2:3" s="12" customFormat="1" ht="22.5" customHeight="1" x14ac:dyDescent="0.2">
      <c r="B471" s="56"/>
      <c r="C471" s="53"/>
    </row>
    <row r="472" spans="2:3" s="12" customFormat="1" ht="22.5" customHeight="1" x14ac:dyDescent="0.2">
      <c r="B472" s="56"/>
      <c r="C472" s="53"/>
    </row>
    <row r="473" spans="2:3" s="12" customFormat="1" ht="22.5" customHeight="1" x14ac:dyDescent="0.2">
      <c r="B473" s="56"/>
      <c r="C473" s="53"/>
    </row>
    <row r="474" spans="2:3" s="12" customFormat="1" ht="22.5" customHeight="1" x14ac:dyDescent="0.2">
      <c r="B474" s="56"/>
      <c r="C474" s="53"/>
    </row>
    <row r="475" spans="2:3" s="12" customFormat="1" ht="22.5" customHeight="1" x14ac:dyDescent="0.2">
      <c r="B475" s="56"/>
      <c r="C475" s="53"/>
    </row>
    <row r="476" spans="2:3" s="12" customFormat="1" ht="22.5" customHeight="1" x14ac:dyDescent="0.2">
      <c r="B476" s="56"/>
      <c r="C476" s="53"/>
    </row>
    <row r="477" spans="2:3" s="12" customFormat="1" ht="22.5" customHeight="1" x14ac:dyDescent="0.2">
      <c r="B477" s="56"/>
      <c r="C477" s="53"/>
    </row>
    <row r="478" spans="2:3" s="12" customFormat="1" ht="22.5" customHeight="1" x14ac:dyDescent="0.2">
      <c r="B478" s="56"/>
      <c r="C478" s="53"/>
    </row>
    <row r="479" spans="2:3" s="12" customFormat="1" ht="22.5" customHeight="1" x14ac:dyDescent="0.2">
      <c r="B479" s="56"/>
      <c r="C479" s="53"/>
    </row>
    <row r="480" spans="2:3" s="12" customFormat="1" ht="22.5" customHeight="1" x14ac:dyDescent="0.2">
      <c r="B480" s="56"/>
      <c r="C480" s="53"/>
    </row>
    <row r="481" spans="2:3" s="12" customFormat="1" ht="22.5" customHeight="1" x14ac:dyDescent="0.2">
      <c r="B481" s="56"/>
      <c r="C481" s="53"/>
    </row>
    <row r="482" spans="2:3" s="12" customFormat="1" ht="22.5" customHeight="1" x14ac:dyDescent="0.2">
      <c r="B482" s="56"/>
      <c r="C482" s="53"/>
    </row>
    <row r="483" spans="2:3" s="12" customFormat="1" ht="22.5" customHeight="1" x14ac:dyDescent="0.2">
      <c r="B483" s="56"/>
      <c r="C483" s="53"/>
    </row>
    <row r="484" spans="2:3" s="12" customFormat="1" ht="22.5" customHeight="1" x14ac:dyDescent="0.2">
      <c r="B484" s="56"/>
      <c r="C484" s="53"/>
    </row>
    <row r="485" spans="2:3" s="12" customFormat="1" ht="22.5" customHeight="1" x14ac:dyDescent="0.2">
      <c r="B485" s="56"/>
      <c r="C485" s="53"/>
    </row>
    <row r="486" spans="2:3" s="12" customFormat="1" ht="22.5" customHeight="1" x14ac:dyDescent="0.2">
      <c r="B486" s="56"/>
      <c r="C486" s="53"/>
    </row>
    <row r="487" spans="2:3" s="12" customFormat="1" ht="22.5" customHeight="1" x14ac:dyDescent="0.2">
      <c r="B487" s="56"/>
      <c r="C487" s="53"/>
    </row>
    <row r="488" spans="2:3" s="12" customFormat="1" ht="22.5" customHeight="1" x14ac:dyDescent="0.2">
      <c r="B488" s="56"/>
      <c r="C488" s="53"/>
    </row>
    <row r="489" spans="2:3" s="12" customFormat="1" ht="22.5" customHeight="1" x14ac:dyDescent="0.2">
      <c r="B489" s="56"/>
      <c r="C489" s="53"/>
    </row>
    <row r="490" spans="2:3" s="12" customFormat="1" ht="22.5" customHeight="1" x14ac:dyDescent="0.2">
      <c r="B490" s="56"/>
      <c r="C490" s="53"/>
    </row>
    <row r="491" spans="2:3" s="12" customFormat="1" ht="22.5" customHeight="1" x14ac:dyDescent="0.2">
      <c r="B491" s="56"/>
      <c r="C491" s="53"/>
    </row>
    <row r="492" spans="2:3" s="12" customFormat="1" ht="22.5" customHeight="1" x14ac:dyDescent="0.2">
      <c r="B492" s="56"/>
      <c r="C492" s="53"/>
    </row>
    <row r="493" spans="2:3" s="12" customFormat="1" ht="22.5" customHeight="1" x14ac:dyDescent="0.2">
      <c r="B493" s="56"/>
      <c r="C493" s="53"/>
    </row>
    <row r="494" spans="2:3" s="12" customFormat="1" ht="22.5" customHeight="1" x14ac:dyDescent="0.2">
      <c r="B494" s="56"/>
      <c r="C494" s="53"/>
    </row>
    <row r="495" spans="2:3" s="12" customFormat="1" ht="22.5" customHeight="1" x14ac:dyDescent="0.2">
      <c r="B495" s="56"/>
      <c r="C495" s="53"/>
    </row>
    <row r="496" spans="2:3" s="12" customFormat="1" ht="22.5" customHeight="1" x14ac:dyDescent="0.2">
      <c r="B496" s="56"/>
      <c r="C496" s="53"/>
    </row>
    <row r="497" spans="2:3" s="12" customFormat="1" ht="22.5" customHeight="1" x14ac:dyDescent="0.2">
      <c r="B497" s="56"/>
      <c r="C497" s="53"/>
    </row>
    <row r="498" spans="2:3" s="12" customFormat="1" ht="22.5" customHeight="1" x14ac:dyDescent="0.2">
      <c r="B498" s="56"/>
      <c r="C498" s="53"/>
    </row>
    <row r="499" spans="2:3" s="12" customFormat="1" ht="22.5" customHeight="1" x14ac:dyDescent="0.2">
      <c r="B499" s="56"/>
      <c r="C499" s="53"/>
    </row>
    <row r="500" spans="2:3" s="12" customFormat="1" ht="22.5" customHeight="1" x14ac:dyDescent="0.2">
      <c r="B500" s="56"/>
      <c r="C500" s="53"/>
    </row>
    <row r="501" spans="2:3" s="12" customFormat="1" ht="22.5" customHeight="1" x14ac:dyDescent="0.2">
      <c r="B501" s="56"/>
      <c r="C501" s="53"/>
    </row>
    <row r="502" spans="2:3" s="12" customFormat="1" ht="22.5" customHeight="1" x14ac:dyDescent="0.2">
      <c r="B502" s="56"/>
      <c r="C502" s="53"/>
    </row>
    <row r="503" spans="2:3" s="12" customFormat="1" ht="22.5" customHeight="1" x14ac:dyDescent="0.2">
      <c r="B503" s="56"/>
      <c r="C503" s="53"/>
    </row>
    <row r="504" spans="2:3" s="12" customFormat="1" ht="22.5" customHeight="1" x14ac:dyDescent="0.2">
      <c r="B504" s="56"/>
      <c r="C504" s="53"/>
    </row>
    <row r="505" spans="2:3" s="12" customFormat="1" ht="22.5" customHeight="1" x14ac:dyDescent="0.2">
      <c r="B505" s="56"/>
      <c r="C505" s="53"/>
    </row>
    <row r="506" spans="2:3" s="12" customFormat="1" ht="22.5" customHeight="1" x14ac:dyDescent="0.2">
      <c r="B506" s="56"/>
      <c r="C506" s="53"/>
    </row>
    <row r="507" spans="2:3" s="12" customFormat="1" ht="22.5" customHeight="1" x14ac:dyDescent="0.2">
      <c r="B507" s="56"/>
      <c r="C507" s="53"/>
    </row>
    <row r="508" spans="2:3" s="12" customFormat="1" ht="22.5" customHeight="1" x14ac:dyDescent="0.2">
      <c r="B508" s="56"/>
      <c r="C508" s="53"/>
    </row>
    <row r="509" spans="2:3" s="12" customFormat="1" ht="22.5" customHeight="1" x14ac:dyDescent="0.2">
      <c r="B509" s="56"/>
      <c r="C509" s="53"/>
    </row>
    <row r="510" spans="2:3" s="12" customFormat="1" ht="22.5" customHeight="1" x14ac:dyDescent="0.2">
      <c r="B510" s="56"/>
      <c r="C510" s="53"/>
    </row>
    <row r="511" spans="2:3" s="12" customFormat="1" ht="22.5" customHeight="1" x14ac:dyDescent="0.2">
      <c r="B511" s="56"/>
      <c r="C511" s="53"/>
    </row>
    <row r="512" spans="2:3" s="12" customFormat="1" ht="22.5" customHeight="1" x14ac:dyDescent="0.2">
      <c r="B512" s="56"/>
      <c r="C512" s="53"/>
    </row>
    <row r="513" spans="2:3" s="12" customFormat="1" ht="22.5" customHeight="1" x14ac:dyDescent="0.2">
      <c r="B513" s="56"/>
      <c r="C513" s="53"/>
    </row>
    <row r="514" spans="2:3" s="12" customFormat="1" ht="22.5" customHeight="1" x14ac:dyDescent="0.2">
      <c r="B514" s="56"/>
      <c r="C514" s="53"/>
    </row>
    <row r="515" spans="2:3" s="12" customFormat="1" ht="22.5" customHeight="1" x14ac:dyDescent="0.2">
      <c r="B515" s="56"/>
      <c r="C515" s="53"/>
    </row>
    <row r="516" spans="2:3" s="12" customFormat="1" ht="22.5" customHeight="1" x14ac:dyDescent="0.2">
      <c r="B516" s="56"/>
      <c r="C516" s="53"/>
    </row>
    <row r="517" spans="2:3" s="12" customFormat="1" ht="22.5" customHeight="1" x14ac:dyDescent="0.2">
      <c r="B517" s="56"/>
      <c r="C517" s="53"/>
    </row>
    <row r="518" spans="2:3" s="12" customFormat="1" ht="22.5" customHeight="1" x14ac:dyDescent="0.2">
      <c r="B518" s="56"/>
      <c r="C518" s="53"/>
    </row>
    <row r="519" spans="2:3" s="12" customFormat="1" ht="22.5" customHeight="1" x14ac:dyDescent="0.2">
      <c r="B519" s="56"/>
      <c r="C519" s="53"/>
    </row>
    <row r="520" spans="2:3" s="12" customFormat="1" ht="22.5" customHeight="1" x14ac:dyDescent="0.2">
      <c r="B520" s="56"/>
      <c r="C520" s="53"/>
    </row>
    <row r="521" spans="2:3" s="12" customFormat="1" ht="22.5" customHeight="1" x14ac:dyDescent="0.2">
      <c r="B521" s="56"/>
      <c r="C521" s="53"/>
    </row>
    <row r="522" spans="2:3" s="12" customFormat="1" ht="22.5" customHeight="1" x14ac:dyDescent="0.2">
      <c r="B522" s="56"/>
      <c r="C522" s="53"/>
    </row>
    <row r="523" spans="2:3" s="12" customFormat="1" ht="22.5" customHeight="1" x14ac:dyDescent="0.2">
      <c r="B523" s="56"/>
      <c r="C523" s="53"/>
    </row>
    <row r="524" spans="2:3" s="12" customFormat="1" ht="22.5" customHeight="1" x14ac:dyDescent="0.2">
      <c r="B524" s="56"/>
      <c r="C524" s="53"/>
    </row>
    <row r="525" spans="2:3" s="12" customFormat="1" ht="22.5" customHeight="1" x14ac:dyDescent="0.2">
      <c r="B525" s="56"/>
      <c r="C525" s="53"/>
    </row>
    <row r="526" spans="2:3" s="12" customFormat="1" ht="22.5" customHeight="1" x14ac:dyDescent="0.2">
      <c r="B526" s="56"/>
      <c r="C526" s="53"/>
    </row>
    <row r="527" spans="2:3" s="12" customFormat="1" ht="22.5" customHeight="1" x14ac:dyDescent="0.2">
      <c r="B527" s="56"/>
      <c r="C527" s="53"/>
    </row>
    <row r="528" spans="2:3" s="12" customFormat="1" ht="22.5" customHeight="1" x14ac:dyDescent="0.2">
      <c r="B528" s="56"/>
      <c r="C528" s="53"/>
    </row>
    <row r="529" spans="2:3" s="12" customFormat="1" ht="22.5" customHeight="1" x14ac:dyDescent="0.2">
      <c r="B529" s="56"/>
      <c r="C529" s="53"/>
    </row>
    <row r="530" spans="2:3" s="12" customFormat="1" ht="22.5" customHeight="1" x14ac:dyDescent="0.2">
      <c r="B530" s="56"/>
      <c r="C530" s="53"/>
    </row>
    <row r="531" spans="2:3" s="12" customFormat="1" ht="22.5" customHeight="1" x14ac:dyDescent="0.2">
      <c r="B531" s="56"/>
      <c r="C531" s="53"/>
    </row>
    <row r="532" spans="2:3" s="12" customFormat="1" ht="22.5" customHeight="1" x14ac:dyDescent="0.2">
      <c r="B532" s="56"/>
      <c r="C532" s="53"/>
    </row>
    <row r="533" spans="2:3" s="12" customFormat="1" ht="22.5" customHeight="1" x14ac:dyDescent="0.2">
      <c r="B533" s="56"/>
      <c r="C533" s="53"/>
    </row>
    <row r="534" spans="2:3" s="12" customFormat="1" ht="22.5" customHeight="1" x14ac:dyDescent="0.2">
      <c r="B534" s="56"/>
      <c r="C534" s="53"/>
    </row>
    <row r="535" spans="2:3" s="12" customFormat="1" ht="22.5" customHeight="1" x14ac:dyDescent="0.2">
      <c r="B535" s="56"/>
      <c r="C535" s="53"/>
    </row>
    <row r="536" spans="2:3" s="12" customFormat="1" ht="22.5" customHeight="1" x14ac:dyDescent="0.2">
      <c r="B536" s="56"/>
      <c r="C536" s="53"/>
    </row>
    <row r="537" spans="2:3" s="12" customFormat="1" ht="22.5" customHeight="1" x14ac:dyDescent="0.2">
      <c r="B537" s="56"/>
      <c r="C537" s="53"/>
    </row>
    <row r="538" spans="2:3" s="12" customFormat="1" ht="22.5" customHeight="1" x14ac:dyDescent="0.2">
      <c r="B538" s="56"/>
      <c r="C538" s="53"/>
    </row>
    <row r="539" spans="2:3" s="12" customFormat="1" ht="22.5" customHeight="1" x14ac:dyDescent="0.2">
      <c r="B539" s="56"/>
      <c r="C539" s="53"/>
    </row>
    <row r="540" spans="2:3" s="12" customFormat="1" ht="22.5" customHeight="1" x14ac:dyDescent="0.2">
      <c r="B540" s="56"/>
      <c r="C540" s="53"/>
    </row>
    <row r="541" spans="2:3" s="12" customFormat="1" ht="22.5" customHeight="1" x14ac:dyDescent="0.2">
      <c r="B541" s="56"/>
      <c r="C541" s="53"/>
    </row>
    <row r="542" spans="2:3" s="12" customFormat="1" ht="22.5" customHeight="1" x14ac:dyDescent="0.2">
      <c r="B542" s="56"/>
      <c r="C542" s="53"/>
    </row>
    <row r="543" spans="2:3" s="12" customFormat="1" ht="22.5" customHeight="1" x14ac:dyDescent="0.2">
      <c r="B543" s="56"/>
      <c r="C543" s="53"/>
    </row>
    <row r="544" spans="2:3" s="12" customFormat="1" ht="22.5" customHeight="1" x14ac:dyDescent="0.2">
      <c r="B544" s="56"/>
      <c r="C544" s="53"/>
    </row>
    <row r="545" spans="2:3" s="12" customFormat="1" ht="22.5" customHeight="1" x14ac:dyDescent="0.2">
      <c r="B545" s="56"/>
      <c r="C545" s="53"/>
    </row>
    <row r="546" spans="2:3" s="12" customFormat="1" ht="22.5" customHeight="1" x14ac:dyDescent="0.2">
      <c r="B546" s="56"/>
      <c r="C546" s="53"/>
    </row>
    <row r="547" spans="2:3" s="12" customFormat="1" ht="22.5" customHeight="1" x14ac:dyDescent="0.2">
      <c r="B547" s="56"/>
      <c r="C547" s="53"/>
    </row>
    <row r="548" spans="2:3" s="12" customFormat="1" ht="22.5" customHeight="1" x14ac:dyDescent="0.2">
      <c r="B548" s="56"/>
      <c r="C548" s="53"/>
    </row>
    <row r="549" spans="2:3" s="12" customFormat="1" ht="22.5" customHeight="1" x14ac:dyDescent="0.2">
      <c r="B549" s="56"/>
      <c r="C549" s="53"/>
    </row>
    <row r="550" spans="2:3" s="12" customFormat="1" ht="22.5" customHeight="1" x14ac:dyDescent="0.2">
      <c r="B550" s="56"/>
      <c r="C550" s="53"/>
    </row>
    <row r="551" spans="2:3" s="12" customFormat="1" ht="22.5" customHeight="1" x14ac:dyDescent="0.2">
      <c r="B551" s="56"/>
      <c r="C551" s="53"/>
    </row>
    <row r="552" spans="2:3" s="12" customFormat="1" ht="22.5" customHeight="1" x14ac:dyDescent="0.2">
      <c r="B552" s="56"/>
      <c r="C552" s="53"/>
    </row>
    <row r="553" spans="2:3" s="12" customFormat="1" ht="22.5" customHeight="1" x14ac:dyDescent="0.2">
      <c r="B553" s="56"/>
      <c r="C553" s="53"/>
    </row>
    <row r="554" spans="2:3" s="12" customFormat="1" ht="22.5" customHeight="1" x14ac:dyDescent="0.2">
      <c r="B554" s="56"/>
      <c r="C554" s="53"/>
    </row>
    <row r="555" spans="2:3" s="12" customFormat="1" ht="22.5" customHeight="1" x14ac:dyDescent="0.2">
      <c r="B555" s="56"/>
      <c r="C555" s="53"/>
    </row>
    <row r="556" spans="2:3" s="12" customFormat="1" ht="22.5" customHeight="1" x14ac:dyDescent="0.2">
      <c r="B556" s="56"/>
      <c r="C556" s="53"/>
    </row>
    <row r="557" spans="2:3" s="12" customFormat="1" ht="22.5" customHeight="1" x14ac:dyDescent="0.2">
      <c r="B557" s="56"/>
      <c r="C557" s="53"/>
    </row>
    <row r="558" spans="2:3" s="12" customFormat="1" ht="22.5" customHeight="1" x14ac:dyDescent="0.2">
      <c r="B558" s="56"/>
      <c r="C558" s="53"/>
    </row>
    <row r="559" spans="2:3" s="12" customFormat="1" ht="22.5" customHeight="1" x14ac:dyDescent="0.2">
      <c r="B559" s="56"/>
      <c r="C559" s="53"/>
    </row>
    <row r="560" spans="2:3" s="12" customFormat="1" ht="22.5" customHeight="1" x14ac:dyDescent="0.2">
      <c r="B560" s="56"/>
      <c r="C560" s="53"/>
    </row>
    <row r="561" spans="2:3" s="12" customFormat="1" ht="22.5" customHeight="1" x14ac:dyDescent="0.2">
      <c r="B561" s="56"/>
      <c r="C561" s="53"/>
    </row>
    <row r="562" spans="2:3" s="12" customFormat="1" ht="22.5" customHeight="1" x14ac:dyDescent="0.2">
      <c r="B562" s="56"/>
      <c r="C562" s="53"/>
    </row>
    <row r="563" spans="2:3" s="12" customFormat="1" ht="22.5" customHeight="1" x14ac:dyDescent="0.2">
      <c r="B563" s="56"/>
      <c r="C563" s="53"/>
    </row>
    <row r="564" spans="2:3" s="12" customFormat="1" ht="22.5" customHeight="1" x14ac:dyDescent="0.2">
      <c r="B564" s="56"/>
      <c r="C564" s="53"/>
    </row>
    <row r="565" spans="2:3" s="12" customFormat="1" ht="22.5" customHeight="1" x14ac:dyDescent="0.2">
      <c r="B565" s="56"/>
      <c r="C565" s="53"/>
    </row>
    <row r="566" spans="2:3" s="12" customFormat="1" ht="22.5" customHeight="1" x14ac:dyDescent="0.2">
      <c r="B566" s="56"/>
      <c r="C566" s="53"/>
    </row>
    <row r="567" spans="2:3" s="12" customFormat="1" ht="22.5" customHeight="1" x14ac:dyDescent="0.2">
      <c r="B567" s="56"/>
      <c r="C567" s="53"/>
    </row>
    <row r="568" spans="2:3" s="12" customFormat="1" ht="22.5" customHeight="1" x14ac:dyDescent="0.2">
      <c r="B568" s="56"/>
      <c r="C568" s="53"/>
    </row>
    <row r="569" spans="2:3" s="12" customFormat="1" ht="22.5" customHeight="1" x14ac:dyDescent="0.2">
      <c r="B569" s="56"/>
      <c r="C569" s="53"/>
    </row>
    <row r="570" spans="2:3" s="12" customFormat="1" ht="22.5" customHeight="1" x14ac:dyDescent="0.2">
      <c r="B570" s="56"/>
      <c r="C570" s="53"/>
    </row>
    <row r="571" spans="2:3" s="12" customFormat="1" ht="22.5" customHeight="1" x14ac:dyDescent="0.2">
      <c r="B571" s="56"/>
      <c r="C571" s="53"/>
    </row>
    <row r="572" spans="2:3" s="12" customFormat="1" ht="22.5" customHeight="1" x14ac:dyDescent="0.2">
      <c r="B572" s="56"/>
      <c r="C572" s="53"/>
    </row>
    <row r="573" spans="2:3" s="12" customFormat="1" ht="22.5" customHeight="1" x14ac:dyDescent="0.2">
      <c r="B573" s="56"/>
      <c r="C573" s="53"/>
    </row>
    <row r="574" spans="2:3" s="12" customFormat="1" ht="22.5" customHeight="1" x14ac:dyDescent="0.2">
      <c r="B574" s="56"/>
      <c r="C574" s="53"/>
    </row>
    <row r="575" spans="2:3" s="12" customFormat="1" ht="22.5" customHeight="1" x14ac:dyDescent="0.2">
      <c r="B575" s="56"/>
      <c r="C575" s="53"/>
    </row>
    <row r="576" spans="2:3" s="12" customFormat="1" ht="22.5" customHeight="1" x14ac:dyDescent="0.2">
      <c r="B576" s="56"/>
      <c r="C576" s="53"/>
    </row>
    <row r="577" spans="2:3" s="12" customFormat="1" ht="22.5" customHeight="1" x14ac:dyDescent="0.2">
      <c r="B577" s="56"/>
      <c r="C577" s="53"/>
    </row>
    <row r="578" spans="2:3" s="12" customFormat="1" ht="22.5" customHeight="1" x14ac:dyDescent="0.2">
      <c r="B578" s="56"/>
      <c r="C578" s="53"/>
    </row>
    <row r="579" spans="2:3" s="12" customFormat="1" ht="22.5" customHeight="1" x14ac:dyDescent="0.2">
      <c r="B579" s="56"/>
      <c r="C579" s="53"/>
    </row>
    <row r="580" spans="2:3" s="12" customFormat="1" ht="22.5" customHeight="1" x14ac:dyDescent="0.2">
      <c r="B580" s="56"/>
      <c r="C580" s="53"/>
    </row>
    <row r="581" spans="2:3" s="12" customFormat="1" ht="22.5" customHeight="1" x14ac:dyDescent="0.2">
      <c r="B581" s="56"/>
      <c r="C581" s="53"/>
    </row>
    <row r="582" spans="2:3" s="12" customFormat="1" ht="22.5" customHeight="1" x14ac:dyDescent="0.2">
      <c r="B582" s="56"/>
      <c r="C582" s="53"/>
    </row>
    <row r="583" spans="2:3" s="12" customFormat="1" ht="22.5" customHeight="1" x14ac:dyDescent="0.2">
      <c r="B583" s="56"/>
      <c r="C583" s="53"/>
    </row>
    <row r="584" spans="2:3" s="12" customFormat="1" ht="22.5" customHeight="1" x14ac:dyDescent="0.2">
      <c r="B584" s="56"/>
      <c r="C584" s="53"/>
    </row>
    <row r="585" spans="2:3" s="12" customFormat="1" ht="22.5" customHeight="1" x14ac:dyDescent="0.2">
      <c r="B585" s="56"/>
      <c r="C585" s="53"/>
    </row>
    <row r="586" spans="2:3" s="12" customFormat="1" ht="22.5" customHeight="1" x14ac:dyDescent="0.2">
      <c r="B586" s="56"/>
      <c r="C586" s="53"/>
    </row>
    <row r="587" spans="2:3" s="12" customFormat="1" ht="22.5" customHeight="1" x14ac:dyDescent="0.2">
      <c r="B587" s="56"/>
      <c r="C587" s="53"/>
    </row>
    <row r="588" spans="2:3" s="12" customFormat="1" ht="22.5" customHeight="1" x14ac:dyDescent="0.2">
      <c r="B588" s="56"/>
      <c r="C588" s="53"/>
    </row>
    <row r="589" spans="2:3" s="12" customFormat="1" ht="22.5" customHeight="1" x14ac:dyDescent="0.2">
      <c r="B589" s="56"/>
      <c r="C589" s="53"/>
    </row>
    <row r="590" spans="2:3" s="12" customFormat="1" ht="22.5" customHeight="1" x14ac:dyDescent="0.2">
      <c r="B590" s="56"/>
      <c r="C590" s="53"/>
    </row>
    <row r="591" spans="2:3" s="12" customFormat="1" ht="22.5" customHeight="1" x14ac:dyDescent="0.2">
      <c r="B591" s="56"/>
      <c r="C591" s="53"/>
    </row>
    <row r="592" spans="2:3" s="12" customFormat="1" ht="22.5" customHeight="1" x14ac:dyDescent="0.2">
      <c r="B592" s="56"/>
      <c r="C592" s="53"/>
    </row>
    <row r="593" spans="2:3" s="12" customFormat="1" ht="22.5" customHeight="1" x14ac:dyDescent="0.2">
      <c r="B593" s="56"/>
      <c r="C593" s="53"/>
    </row>
    <row r="594" spans="2:3" s="12" customFormat="1" ht="22.5" customHeight="1" x14ac:dyDescent="0.2">
      <c r="B594" s="56"/>
      <c r="C594" s="53"/>
    </row>
    <row r="595" spans="2:3" s="12" customFormat="1" ht="22.5" customHeight="1" x14ac:dyDescent="0.2">
      <c r="B595" s="56"/>
      <c r="C595" s="53"/>
    </row>
    <row r="596" spans="2:3" s="12" customFormat="1" ht="22.5" customHeight="1" x14ac:dyDescent="0.2">
      <c r="B596" s="56"/>
      <c r="C596" s="53"/>
    </row>
    <row r="597" spans="2:3" s="12" customFormat="1" ht="22.5" customHeight="1" x14ac:dyDescent="0.2">
      <c r="B597" s="56"/>
      <c r="C597" s="53"/>
    </row>
    <row r="598" spans="2:3" s="12" customFormat="1" ht="22.5" customHeight="1" x14ac:dyDescent="0.2">
      <c r="B598" s="56"/>
      <c r="C598" s="53"/>
    </row>
    <row r="599" spans="2:3" s="12" customFormat="1" ht="22.5" customHeight="1" x14ac:dyDescent="0.2">
      <c r="B599" s="56"/>
      <c r="C599" s="53"/>
    </row>
    <row r="600" spans="2:3" s="12" customFormat="1" ht="22.5" customHeight="1" x14ac:dyDescent="0.2">
      <c r="B600" s="56"/>
      <c r="C600" s="53"/>
    </row>
    <row r="601" spans="2:3" s="12" customFormat="1" ht="22.5" customHeight="1" x14ac:dyDescent="0.2">
      <c r="B601" s="56"/>
      <c r="C601" s="53"/>
    </row>
    <row r="602" spans="2:3" s="12" customFormat="1" ht="22.5" customHeight="1" x14ac:dyDescent="0.2">
      <c r="B602" s="56"/>
      <c r="C602" s="53"/>
    </row>
    <row r="603" spans="2:3" s="12" customFormat="1" ht="22.5" customHeight="1" x14ac:dyDescent="0.2">
      <c r="B603" s="56"/>
      <c r="C603" s="53"/>
    </row>
    <row r="604" spans="2:3" s="12" customFormat="1" ht="22.5" customHeight="1" x14ac:dyDescent="0.2">
      <c r="B604" s="56"/>
      <c r="C604" s="53"/>
    </row>
    <row r="605" spans="2:3" s="12" customFormat="1" ht="22.5" customHeight="1" x14ac:dyDescent="0.2">
      <c r="B605" s="56"/>
      <c r="C605" s="53"/>
    </row>
    <row r="606" spans="2:3" s="12" customFormat="1" ht="22.5" customHeight="1" x14ac:dyDescent="0.2">
      <c r="B606" s="56"/>
      <c r="C606" s="53"/>
    </row>
    <row r="607" spans="2:3" s="12" customFormat="1" ht="22.5" customHeight="1" x14ac:dyDescent="0.2">
      <c r="B607" s="56"/>
      <c r="C607" s="53"/>
    </row>
    <row r="608" spans="2:3" s="12" customFormat="1" ht="22.5" customHeight="1" x14ac:dyDescent="0.2">
      <c r="B608" s="56"/>
      <c r="C608" s="53"/>
    </row>
    <row r="609" spans="2:3" s="12" customFormat="1" ht="22.5" customHeight="1" x14ac:dyDescent="0.2">
      <c r="B609" s="56"/>
      <c r="C609" s="53"/>
    </row>
    <row r="610" spans="2:3" s="12" customFormat="1" ht="22.5" customHeight="1" x14ac:dyDescent="0.2">
      <c r="B610" s="56"/>
      <c r="C610" s="53"/>
    </row>
    <row r="611" spans="2:3" s="12" customFormat="1" ht="22.5" customHeight="1" x14ac:dyDescent="0.2">
      <c r="B611" s="56"/>
      <c r="C611" s="53"/>
    </row>
    <row r="612" spans="2:3" s="12" customFormat="1" ht="22.5" customHeight="1" x14ac:dyDescent="0.2">
      <c r="B612" s="56"/>
      <c r="C612" s="53"/>
    </row>
    <row r="613" spans="2:3" s="12" customFormat="1" ht="22.5" customHeight="1" x14ac:dyDescent="0.2">
      <c r="B613" s="56"/>
      <c r="C613" s="53"/>
    </row>
    <row r="614" spans="2:3" s="12" customFormat="1" ht="22.5" customHeight="1" x14ac:dyDescent="0.2">
      <c r="B614" s="56"/>
      <c r="C614" s="53"/>
    </row>
    <row r="615" spans="2:3" s="12" customFormat="1" ht="22.5" customHeight="1" x14ac:dyDescent="0.2">
      <c r="B615" s="56"/>
      <c r="C615" s="53"/>
    </row>
    <row r="616" spans="2:3" s="12" customFormat="1" ht="22.5" customHeight="1" x14ac:dyDescent="0.2">
      <c r="B616" s="56"/>
      <c r="C616" s="53"/>
    </row>
    <row r="617" spans="2:3" s="12" customFormat="1" ht="22.5" customHeight="1" x14ac:dyDescent="0.2">
      <c r="B617" s="56"/>
      <c r="C617" s="53"/>
    </row>
    <row r="618" spans="2:3" s="12" customFormat="1" ht="22.5" customHeight="1" x14ac:dyDescent="0.2">
      <c r="B618" s="56"/>
      <c r="C618" s="53"/>
    </row>
    <row r="619" spans="2:3" s="12" customFormat="1" ht="22.5" customHeight="1" x14ac:dyDescent="0.2">
      <c r="B619" s="56"/>
      <c r="C619" s="53"/>
    </row>
    <row r="620" spans="2:3" s="12" customFormat="1" ht="22.5" customHeight="1" x14ac:dyDescent="0.2">
      <c r="B620" s="56"/>
      <c r="C620" s="53"/>
    </row>
    <row r="621" spans="2:3" s="12" customFormat="1" ht="22.5" customHeight="1" x14ac:dyDescent="0.2">
      <c r="B621" s="56"/>
      <c r="C621" s="53"/>
    </row>
    <row r="622" spans="2:3" s="12" customFormat="1" ht="22.5" customHeight="1" x14ac:dyDescent="0.2">
      <c r="B622" s="56"/>
      <c r="C622" s="53"/>
    </row>
    <row r="623" spans="2:3" s="12" customFormat="1" ht="22.5" customHeight="1" x14ac:dyDescent="0.2">
      <c r="B623" s="56"/>
      <c r="C623" s="53"/>
    </row>
    <row r="624" spans="2:3" s="12" customFormat="1" ht="22.5" customHeight="1" x14ac:dyDescent="0.2">
      <c r="B624" s="56"/>
      <c r="C624" s="53"/>
    </row>
    <row r="625" spans="2:3" s="12" customFormat="1" ht="22.5" customHeight="1" x14ac:dyDescent="0.2">
      <c r="B625" s="56"/>
      <c r="C625" s="53"/>
    </row>
    <row r="626" spans="2:3" s="12" customFormat="1" ht="22.5" customHeight="1" x14ac:dyDescent="0.2">
      <c r="B626" s="56"/>
      <c r="C626" s="53"/>
    </row>
    <row r="627" spans="2:3" s="12" customFormat="1" ht="22.5" customHeight="1" x14ac:dyDescent="0.2">
      <c r="B627" s="56"/>
      <c r="C627" s="53"/>
    </row>
    <row r="628" spans="2:3" s="12" customFormat="1" ht="22.5" customHeight="1" x14ac:dyDescent="0.2">
      <c r="B628" s="56"/>
      <c r="C628" s="53"/>
    </row>
    <row r="629" spans="2:3" s="12" customFormat="1" ht="22.5" customHeight="1" x14ac:dyDescent="0.2">
      <c r="B629" s="56"/>
      <c r="C629" s="53"/>
    </row>
    <row r="630" spans="2:3" s="12" customFormat="1" ht="22.5" customHeight="1" x14ac:dyDescent="0.2">
      <c r="B630" s="56"/>
      <c r="C630" s="53"/>
    </row>
    <row r="631" spans="2:3" s="12" customFormat="1" ht="22.5" customHeight="1" x14ac:dyDescent="0.2">
      <c r="B631" s="56"/>
      <c r="C631" s="53"/>
    </row>
    <row r="632" spans="2:3" s="12" customFormat="1" ht="22.5" customHeight="1" x14ac:dyDescent="0.2">
      <c r="B632" s="56"/>
      <c r="C632" s="53"/>
    </row>
    <row r="633" spans="2:3" s="12" customFormat="1" ht="22.5" customHeight="1" x14ac:dyDescent="0.2">
      <c r="B633" s="56"/>
      <c r="C633" s="53"/>
    </row>
    <row r="634" spans="2:3" s="12" customFormat="1" ht="22.5" customHeight="1" x14ac:dyDescent="0.2">
      <c r="B634" s="56"/>
      <c r="C634" s="53"/>
    </row>
    <row r="635" spans="2:3" s="12" customFormat="1" ht="22.5" customHeight="1" x14ac:dyDescent="0.2">
      <c r="B635" s="56"/>
      <c r="C635" s="53"/>
    </row>
    <row r="636" spans="2:3" s="12" customFormat="1" ht="22.5" customHeight="1" x14ac:dyDescent="0.2">
      <c r="B636" s="56"/>
      <c r="C636" s="53"/>
    </row>
    <row r="637" spans="2:3" s="12" customFormat="1" ht="22.5" customHeight="1" x14ac:dyDescent="0.2">
      <c r="B637" s="56"/>
      <c r="C637" s="53"/>
    </row>
    <row r="638" spans="2:3" s="12" customFormat="1" ht="22.5" customHeight="1" x14ac:dyDescent="0.2">
      <c r="B638" s="56"/>
      <c r="C638" s="53"/>
    </row>
    <row r="639" spans="2:3" s="12" customFormat="1" ht="22.5" customHeight="1" x14ac:dyDescent="0.2">
      <c r="B639" s="56"/>
      <c r="C639" s="53"/>
    </row>
    <row r="640" spans="2:3" s="12" customFormat="1" ht="22.5" customHeight="1" x14ac:dyDescent="0.2">
      <c r="B640" s="56"/>
      <c r="C640" s="53"/>
    </row>
    <row r="641" spans="2:3" s="12" customFormat="1" ht="22.5" customHeight="1" x14ac:dyDescent="0.2">
      <c r="B641" s="56"/>
      <c r="C641" s="53"/>
    </row>
    <row r="642" spans="2:3" s="12" customFormat="1" ht="22.5" customHeight="1" x14ac:dyDescent="0.2">
      <c r="B642" s="56"/>
      <c r="C642" s="53"/>
    </row>
    <row r="643" spans="2:3" s="12" customFormat="1" ht="22.5" customHeight="1" x14ac:dyDescent="0.2">
      <c r="B643" s="56"/>
      <c r="C643" s="53"/>
    </row>
    <row r="644" spans="2:3" s="12" customFormat="1" ht="22.5" customHeight="1" x14ac:dyDescent="0.2">
      <c r="B644" s="56"/>
      <c r="C644" s="53"/>
    </row>
    <row r="645" spans="2:3" s="12" customFormat="1" ht="22.5" customHeight="1" x14ac:dyDescent="0.2">
      <c r="B645" s="56"/>
      <c r="C645" s="53"/>
    </row>
    <row r="646" spans="2:3" s="12" customFormat="1" ht="22.5" customHeight="1" x14ac:dyDescent="0.2">
      <c r="B646" s="56"/>
      <c r="C646" s="53"/>
    </row>
    <row r="647" spans="2:3" s="12" customFormat="1" ht="22.5" customHeight="1" x14ac:dyDescent="0.2">
      <c r="B647" s="56"/>
      <c r="C647" s="53"/>
    </row>
    <row r="648" spans="2:3" s="12" customFormat="1" ht="22.5" customHeight="1" x14ac:dyDescent="0.2">
      <c r="B648" s="56"/>
      <c r="C648" s="53"/>
    </row>
    <row r="649" spans="2:3" s="12" customFormat="1" ht="22.5" customHeight="1" x14ac:dyDescent="0.2">
      <c r="B649" s="56"/>
      <c r="C649" s="53"/>
    </row>
    <row r="650" spans="2:3" s="12" customFormat="1" ht="22.5" customHeight="1" x14ac:dyDescent="0.2">
      <c r="B650" s="56"/>
      <c r="C650" s="53"/>
    </row>
    <row r="651" spans="2:3" s="12" customFormat="1" ht="22.5" customHeight="1" x14ac:dyDescent="0.2">
      <c r="B651" s="56"/>
      <c r="C651" s="53"/>
    </row>
    <row r="652" spans="2:3" s="12" customFormat="1" ht="22.5" customHeight="1" x14ac:dyDescent="0.2">
      <c r="B652" s="56"/>
      <c r="C652" s="53"/>
    </row>
    <row r="653" spans="2:3" s="12" customFormat="1" ht="22.5" customHeight="1" x14ac:dyDescent="0.2">
      <c r="B653" s="56"/>
      <c r="C653" s="53"/>
    </row>
    <row r="654" spans="2:3" s="12" customFormat="1" ht="22.5" customHeight="1" x14ac:dyDescent="0.2">
      <c r="B654" s="56"/>
      <c r="C654" s="53"/>
    </row>
    <row r="655" spans="2:3" s="12" customFormat="1" ht="22.5" customHeight="1" x14ac:dyDescent="0.2">
      <c r="B655" s="56"/>
      <c r="C655" s="53"/>
    </row>
  </sheetData>
  <mergeCells count="1">
    <mergeCell ref="B3:C3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/>
  </sheetViews>
  <sheetFormatPr defaultRowHeight="12.75" x14ac:dyDescent="0.2"/>
  <cols>
    <col min="1" max="1" width="13.42578125" bestFit="1" customWidth="1"/>
    <col min="2" max="2" width="12.85546875" bestFit="1" customWidth="1"/>
    <col min="3" max="3" width="15.28515625" bestFit="1" customWidth="1"/>
  </cols>
  <sheetData>
    <row r="1" spans="1:3" x14ac:dyDescent="0.2">
      <c r="A1" t="s">
        <v>87</v>
      </c>
      <c r="B1" t="s">
        <v>88</v>
      </c>
      <c r="C1" t="s">
        <v>89</v>
      </c>
    </row>
    <row r="2" spans="1:3" x14ac:dyDescent="0.2">
      <c r="A2" s="114">
        <v>15610035</v>
      </c>
      <c r="B2" s="114" t="s">
        <v>14</v>
      </c>
      <c r="C2" s="115" t="s">
        <v>90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eMini Template</vt:lpstr>
      <vt:lpstr>Parameter</vt:lpstr>
      <vt:lpstr>EventLog</vt:lpstr>
      <vt:lpstr>Account Details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pcornell</dc:creator>
  <cp:lastModifiedBy>Elly Sugianto</cp:lastModifiedBy>
  <dcterms:created xsi:type="dcterms:W3CDTF">2001-06-11T22:40:21Z</dcterms:created>
  <dcterms:modified xsi:type="dcterms:W3CDTF">2014-11-13T08:17:39Z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GeollyExcelWorkbook.vsto|e2da51bc-7dd2-4268-b72b-fce30e9a5149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70c89b1d689d4b2d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4778E9FE-916C-45B6-9D0C-23E2A92EF516}">
  <ds:schemaRefs/>
</ds:datastoreItem>
</file>