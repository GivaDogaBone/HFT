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definedNames>
    <definedName name="evntRangeAccountName">'Account Details'!$A$2</definedName>
    <definedName name="evntRangeInstrumentName">'Account Details'!$C$2</definedName>
    <definedName name="evntRangeLong">'eMini Template'!$Q$10</definedName>
    <definedName name="evntRangeProductName">'Account Details'!$B$2</definedName>
    <definedName name="evntRangeShort">'eMini Template'!$R$10</definedName>
    <definedName name="evntRangeTrendFast">'eMini Template'!$Y$13</definedName>
    <definedName name="evntRangeTrendSlow">'eMini Template'!$Y$12</definedName>
  </definedNames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Q17" i="2"/>
  <c r="Y10" i="2"/>
  <c r="Y9" i="2"/>
  <c r="R21" i="2"/>
  <c r="Q21" i="2"/>
  <c r="Y12" i="2" l="1"/>
  <c r="Y13" i="2"/>
  <c r="Z10" i="2"/>
  <c r="Z9" i="2"/>
  <c r="R17" i="2"/>
  <c r="Z12" i="2"/>
  <c r="Z13" i="2"/>
  <c r="Y8" i="2" l="1"/>
  <c r="R10" i="2"/>
  <c r="Q10" i="2"/>
  <c r="Z8" i="2"/>
</calcChain>
</file>

<file path=xl/sharedStrings.xml><?xml version="1.0" encoding="utf-8"?>
<sst xmlns="http://schemas.openxmlformats.org/spreadsheetml/2006/main" count="106" uniqueCount="89">
  <si>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</si>
  <si>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</si>
  <si>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</si>
  <si>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</si>
  <si>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</si>
  <si>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</si>
  <si>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</si>
  <si>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</si>
  <si>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</si>
  <si>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</si>
  <si>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</si>
  <si>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</si>
  <si>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</si>
  <si>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</si>
  <si>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</si>
  <si>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</si>
  <si>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</si>
  <si>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</si>
  <si>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</si>
  <si>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</si>
  <si>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</si>
  <si>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</si>
  <si>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</si>
  <si>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</si>
  <si>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</si>
  <si>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</si>
  <si>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</si>
  <si>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</si>
  <si>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</si>
  <si>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</si>
  <si>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</si>
  <si>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</si>
  <si>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</si>
  <si>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</si>
  <si>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</si>
  <si>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</si>
  <si>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</si>
  <si>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</si>
  <si>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</si>
  <si>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</si>
  <si>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</si>
  <si>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</si>
  <si>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</si>
  <si>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</si>
  <si>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</si>
  <si>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</si>
  <si>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</si>
  <si>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</si>
  <si>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</si>
  <si>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</si>
  <si>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</si>
  <si>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</si>
  <si>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</si>
  <si>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</si>
  <si>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</si>
  <si>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</si>
  <si>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</si>
  <si>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</si>
  <si>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</si>
  <si>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</si>
  <si>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</si>
  <si>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</si>
  <si>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</si>
  <si>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</si>
  <si>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</si>
  <si>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</si>
  <si>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</si>
  <si>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</si>
  <si>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</si>
  <si>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</si>
  <si>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</si>
  <si>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</si>
  <si>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</si>
  <si>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</si>
  <si>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</si>
  <si>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</si>
  <si>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</si>
  <si>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</si>
  <si>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</si>
  <si>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</si>
  <si>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</si>
  <si>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</si>
  <si>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</si>
  <si>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</si>
  <si>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</si>
  <si>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Account Name</t>
  </si>
  <si>
    <t>Product Name</t>
  </si>
  <si>
    <t>Instrument Name</t>
  </si>
  <si>
    <t>Dec14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</si>
</sst>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41958.117253703706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1" t="s">
        <v>25</v>
      </c>
      <c r="R5" s="131"/>
      <c r="S5" s="67"/>
      <c r="V5" s="116" t="s">
        <v>69</v>
      </c>
      <c r="W5" s="117"/>
      <c r="X5" s="117"/>
      <c r="Y5" s="117"/>
      <c r="Z5" s="117"/>
      <c r="AA5" s="118"/>
    </row>
    <row r="6" spans="2:27" ht="6.75" customHeight="1" x14ac:dyDescent="0.2">
      <c r="V6" s="119"/>
      <c r="W6" s="120"/>
      <c r="X6" s="120"/>
      <c r="Y6" s="120"/>
      <c r="Z6" s="120"/>
      <c r="AA6" s="121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33" t="s">
        <v>18</v>
      </c>
      <c r="E8" s="133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29" t="s">
        <v>32</v>
      </c>
      <c r="Q8" s="129"/>
      <c r="R8" s="129"/>
      <c r="S8" s="129"/>
      <c r="V8" s="105" t="s">
        <v>73</v>
      </c>
      <c r="W8" s="106"/>
      <c r="X8" s="106"/>
      <c r="Y8" s="107">
        <f>Q17+Q21-R17-R21</f>
        <v>11</v>
      </c>
      <c r="Z8" s="108">
        <f>Push4DIndicator(9,Y8)</f>
        <v>9</v>
      </c>
      <c r="AA8" s="109" t="s">
        <v>79</v>
      </c>
    </row>
    <row r="9" spans="2:27" ht="18" customHeight="1" x14ac:dyDescent="0.2">
      <c r="C9" s="61" t="s">
        <v>0</v>
      </c>
      <c r="D9" s="133" t="s">
        <v>15</v>
      </c>
      <c r="E9" s="133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>
        <f>Push4DIndicator(10,Y9)</f>
        <v>10</v>
      </c>
      <c r="AA9" s="110" t="s">
        <v>81</v>
      </c>
    </row>
    <row r="10" spans="2:27" s="2" customFormat="1" ht="21.75" customHeight="1" x14ac:dyDescent="0.2">
      <c r="C10" s="62" t="s">
        <v>2</v>
      </c>
      <c r="D10" s="134" t="s">
        <v>3</v>
      </c>
      <c r="E10" s="134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3">
        <f>IF(AND(Q17&gt;=Parameter!D8, Q21&gt;=Parameter!D9, R17&lt;=Parameter!D11, R21&lt;= Parameter!D12),1,0)</f>
        <v>0</v>
      </c>
      <c r="R10" s="126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>
        <f>Push4DIndicator(11,Y10)</f>
        <v>11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4"/>
      <c r="R11" s="127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32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5"/>
      <c r="R12" s="128"/>
      <c r="V12" s="95" t="s">
        <v>75</v>
      </c>
      <c r="W12" s="96"/>
      <c r="X12" s="96"/>
      <c r="Y12" s="85">
        <f>SUM(L12:O13)/8</f>
        <v>-0.75</v>
      </c>
      <c r="Z12" s="83">
        <f>Push4DIndicator(15,Y12)</f>
        <v>15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32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>
        <f>Push4DIndicator(16,Y13)</f>
        <v>16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32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29" t="s">
        <v>26</v>
      </c>
      <c r="Q15" s="129"/>
      <c r="R15" s="129"/>
      <c r="S15" s="129"/>
    </row>
    <row r="16" spans="2:27" s="2" customFormat="1" ht="21" customHeight="1" x14ac:dyDescent="0.2">
      <c r="C16" s="63">
        <v>7</v>
      </c>
      <c r="D16" s="132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32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2">
        <f>SumCellColor($F$15:$O$18,Parameter!$D$26)</f>
        <v>11</v>
      </c>
      <c r="R17" s="122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32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2"/>
      <c r="R18" s="122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32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0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32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0"/>
      <c r="Q21" s="122">
        <f>SumCellColor($F$20:$O$22,Parameter!$D$26)</f>
        <v>11</v>
      </c>
      <c r="R21" s="122">
        <f>SumCellColor($F$20:$O$22,Parameter!$D$27)</f>
        <v>6</v>
      </c>
    </row>
    <row r="22" spans="3:22" s="2" customFormat="1" ht="21" customHeight="1" x14ac:dyDescent="0.2">
      <c r="C22" s="63">
        <v>12</v>
      </c>
      <c r="D22" s="132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0"/>
      <c r="Q22" s="122"/>
      <c r="R22" s="122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D20:D22"/>
    <mergeCell ref="D8:E8"/>
    <mergeCell ref="D9:E9"/>
    <mergeCell ref="D10:E10"/>
    <mergeCell ref="D12:D13"/>
    <mergeCell ref="D15:D18"/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1" t="s">
        <v>35</v>
      </c>
      <c r="C3" s="131"/>
      <c r="D3" s="131"/>
      <c r="E3" s="131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0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/>
      <c r="C7" s="53"/>
    </row>
    <row r="8" spans="1:3" s="12" customFormat="1" ht="22.5" customHeight="1" x14ac:dyDescent="0.2">
      <c r="B8" s="57"/>
      <c r="C8" s="53"/>
    </row>
    <row r="9" spans="1:3" s="12" customFormat="1" ht="22.5" customHeight="1" x14ac:dyDescent="0.2">
      <c r="B9" s="57"/>
      <c r="C9" s="53"/>
    </row>
    <row r="10" spans="1:3" s="12" customFormat="1" ht="22.5" customHeight="1" x14ac:dyDescent="0.2">
      <c r="B10" s="57"/>
      <c r="C10" s="53"/>
    </row>
    <row r="11" spans="1:3" s="12" customFormat="1" ht="22.5" customHeight="1" x14ac:dyDescent="0.2">
      <c r="B11" s="57"/>
      <c r="C11" s="53"/>
    </row>
    <row r="12" spans="1:3" s="12" customFormat="1" ht="22.5" customHeight="1" x14ac:dyDescent="0.2">
      <c r="B12" s="57"/>
      <c r="C12" s="53"/>
    </row>
    <row r="13" spans="1:3" s="12" customFormat="1" ht="22.5" customHeight="1" x14ac:dyDescent="0.2">
      <c r="B13" s="57"/>
      <c r="C13" s="53"/>
    </row>
    <row r="14" spans="1:3" s="12" customFormat="1" ht="22.5" customHeight="1" x14ac:dyDescent="0.2">
      <c r="B14" s="57"/>
      <c r="C14" s="53"/>
    </row>
    <row r="15" spans="1:3" s="12" customFormat="1" ht="22.5" customHeight="1" x14ac:dyDescent="0.2">
      <c r="B15" s="57"/>
      <c r="C15" s="53"/>
    </row>
    <row r="16" spans="1:3" s="12" customFormat="1" ht="22.5" customHeight="1" x14ac:dyDescent="0.2">
      <c r="B16" s="57"/>
      <c r="C16" s="53"/>
    </row>
    <row r="17" spans="2:3" s="12" customFormat="1" ht="22.5" customHeight="1" x14ac:dyDescent="0.2">
      <c r="B17" s="57"/>
      <c r="C17" s="53"/>
    </row>
    <row r="18" spans="2:3" s="12" customFormat="1" ht="22.5" customHeight="1" x14ac:dyDescent="0.2">
      <c r="B18" s="57"/>
      <c r="C18" s="53"/>
    </row>
    <row r="19" spans="2:3" s="12" customFormat="1" ht="22.5" customHeight="1" x14ac:dyDescent="0.2">
      <c r="B19" s="57"/>
      <c r="C19" s="53"/>
    </row>
    <row r="20" spans="2:3" s="12" customFormat="1" ht="22.5" customHeight="1" x14ac:dyDescent="0.2">
      <c r="B20" s="57"/>
      <c r="C20" s="53"/>
    </row>
    <row r="21" spans="2:3" s="12" customFormat="1" ht="22.5" customHeight="1" x14ac:dyDescent="0.2">
      <c r="B21" s="57"/>
      <c r="C21" s="53"/>
    </row>
    <row r="22" spans="2:3" s="12" customFormat="1" ht="22.5" customHeight="1" x14ac:dyDescent="0.2">
      <c r="B22" s="57"/>
      <c r="C22" s="53"/>
    </row>
    <row r="23" spans="2:3" s="12" customFormat="1" ht="22.5" customHeight="1" x14ac:dyDescent="0.2">
      <c r="B23" s="57"/>
      <c r="C23" s="53"/>
    </row>
    <row r="24" spans="2:3" s="12" customFormat="1" ht="22.5" customHeight="1" x14ac:dyDescent="0.2">
      <c r="B24" s="57"/>
      <c r="C24" s="53"/>
    </row>
    <row r="25" spans="2:3" s="12" customFormat="1" ht="22.5" customHeight="1" x14ac:dyDescent="0.2">
      <c r="B25" s="57"/>
      <c r="C25" s="53"/>
    </row>
    <row r="26" spans="2:3" s="12" customFormat="1" ht="22.5" customHeight="1" x14ac:dyDescent="0.2">
      <c r="B26" s="57"/>
      <c r="C26" s="53"/>
    </row>
    <row r="27" spans="2:3" s="12" customFormat="1" ht="22.5" customHeight="1" x14ac:dyDescent="0.2">
      <c r="B27" s="57"/>
      <c r="C27" s="53"/>
    </row>
    <row r="28" spans="2:3" s="12" customFormat="1" ht="22.5" customHeight="1" x14ac:dyDescent="0.2">
      <c r="B28" s="57"/>
      <c r="C28" s="53"/>
    </row>
    <row r="29" spans="2:3" s="12" customFormat="1" ht="22.5" customHeight="1" x14ac:dyDescent="0.2">
      <c r="B29" s="57"/>
      <c r="C29" s="53"/>
    </row>
    <row r="30" spans="2:3" s="12" customFormat="1" ht="22.5" customHeight="1" x14ac:dyDescent="0.2">
      <c r="B30" s="57"/>
      <c r="C30" s="53"/>
    </row>
    <row r="31" spans="2:3" s="12" customFormat="1" ht="22.5" customHeight="1" x14ac:dyDescent="0.2">
      <c r="B31" s="57"/>
      <c r="C31" s="53"/>
    </row>
    <row r="32" spans="2:3" s="12" customFormat="1" ht="22.5" customHeight="1" x14ac:dyDescent="0.2">
      <c r="B32" s="57"/>
      <c r="C32" s="53"/>
    </row>
    <row r="33" spans="2:3" s="12" customFormat="1" ht="22.5" customHeight="1" x14ac:dyDescent="0.2">
      <c r="B33" s="57"/>
      <c r="C33" s="53"/>
    </row>
    <row r="34" spans="2:3" s="12" customFormat="1" ht="22.5" customHeight="1" x14ac:dyDescent="0.2">
      <c r="B34" s="57"/>
      <c r="C34" s="53"/>
    </row>
    <row r="35" spans="2:3" s="12" customFormat="1" ht="22.5" customHeight="1" x14ac:dyDescent="0.2">
      <c r="B35" s="57"/>
      <c r="C35" s="53"/>
    </row>
    <row r="36" spans="2:3" s="12" customFormat="1" ht="22.5" customHeight="1" x14ac:dyDescent="0.2">
      <c r="B36" s="57"/>
      <c r="C36" s="53"/>
    </row>
    <row r="37" spans="2:3" s="12" customFormat="1" ht="22.5" customHeight="1" x14ac:dyDescent="0.2">
      <c r="B37" s="57"/>
      <c r="C37" s="53"/>
    </row>
    <row r="38" spans="2:3" s="12" customFormat="1" ht="22.5" customHeight="1" x14ac:dyDescent="0.2">
      <c r="B38" s="57"/>
      <c r="C38" s="53"/>
    </row>
    <row r="39" spans="2:3" s="12" customFormat="1" ht="22.5" customHeight="1" x14ac:dyDescent="0.2">
      <c r="B39" s="57"/>
      <c r="C39" s="53"/>
    </row>
    <row r="40" spans="2:3" s="12" customFormat="1" ht="22.5" customHeight="1" x14ac:dyDescent="0.2">
      <c r="B40" s="57"/>
      <c r="C40" s="53"/>
    </row>
    <row r="41" spans="2:3" s="12" customFormat="1" ht="22.5" customHeight="1" x14ac:dyDescent="0.2">
      <c r="B41" s="57"/>
      <c r="C41" s="53"/>
    </row>
    <row r="42" spans="2:3" s="12" customFormat="1" ht="22.5" customHeight="1" x14ac:dyDescent="0.2">
      <c r="B42" s="57"/>
      <c r="C42" s="53"/>
    </row>
    <row r="43" spans="2:3" s="12" customFormat="1" ht="22.5" customHeight="1" x14ac:dyDescent="0.2">
      <c r="B43" s="57"/>
      <c r="C43" s="53"/>
    </row>
    <row r="44" spans="2:3" s="12" customFormat="1" ht="22.5" customHeight="1" x14ac:dyDescent="0.2">
      <c r="B44" s="57"/>
      <c r="C44" s="53"/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85</v>
      </c>
      <c r="B1" t="s">
        <v>86</v>
      </c>
      <c r="C1" t="s">
        <v>87</v>
      </c>
    </row>
    <row r="2" spans="1:3" x14ac:dyDescent="0.2">
      <c r="A2" s="114">
        <v>15610035</v>
      </c>
      <c r="B2" s="114" t="s">
        <v>14</v>
      </c>
      <c r="C2" s="115" t="s">
        <v>88</v>
      </c>
    </row>
  </sheetData>
  <dataConsolidate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34EC9634-59C5-46CE-B7C1-95F11CC9718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eMini Template</vt:lpstr>
      <vt:lpstr>Parameter</vt:lpstr>
      <vt:lpstr>EventLog</vt:lpstr>
      <vt:lpstr>Account Details</vt:lpstr>
      <vt:lpstr>evntRangeAccountName</vt:lpstr>
      <vt:lpstr>evntRangeInstrumentName</vt:lpstr>
      <vt:lpstr>evntRangeLong</vt:lpstr>
      <vt:lpstr>evntRangeProductName</vt:lpstr>
      <vt:lpstr>evntRangeShort</vt:lpstr>
      <vt:lpstr>evntRangeTrendFast</vt:lpstr>
      <vt:lpstr>evntRangeTrendSlow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Windows User</cp:lastModifiedBy>
  <dcterms:created xsi:type="dcterms:W3CDTF">2001-06-11T22:40:21Z</dcterms:created>
  <dcterms:modified xsi:type="dcterms:W3CDTF">2014-11-15T08:48:58Z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</vt:lpwstr>
  </property>
  <property fmtid="{D5CDD505-2E9C-101B-9397-08002B2CF9AE}" pid="3" name="_AssemblyName">
    <vt:lpwstr>4E3C66D5-58D4-491E-A7D4-64AF99AF6E8B</vt:lpwstr>
  </property>
</Properties>
</file>